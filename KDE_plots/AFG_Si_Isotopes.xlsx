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fd3f8ffa58db1a/Documents - Zircon Recrystallization/Manuscripts/MZ_Replacement/KDE_plots/"/>
    </mc:Choice>
  </mc:AlternateContent>
  <xr:revisionPtr revIDLastSave="33" documentId="8_{7B7EC796-8163-48A4-996C-7F40B36A6276}" xr6:coauthVersionLast="47" xr6:coauthVersionMax="47" xr10:uidLastSave="{ED6CB31F-F9F5-4856-A228-9BDBB7F7B43E}"/>
  <bookViews>
    <workbookView xWindow="-110" yWindow="-110" windowWidth="19420" windowHeight="10300" xr2:uid="{8A5AF01C-65FD-45FE-BD39-DC1BE6F5F227}"/>
  </bookViews>
  <sheets>
    <sheet name="Data" sheetId="1" r:id="rId1"/>
    <sheet name="PivotTable" sheetId="2" r:id="rId2"/>
    <sheet name="PT 2" sheetId="3" r:id="rId3"/>
  </sheets>
  <calcPr calcId="191029"/>
  <pivotCaches>
    <pivotCache cacheId="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<sst xmlns="http://schemas.openxmlformats.org/spreadsheetml/2006/main" count="73" uniqueCount="12">
  <si>
    <t>Sample</t>
  </si>
  <si>
    <t>N</t>
  </si>
  <si>
    <t>Y</t>
  </si>
  <si>
    <t>P</t>
  </si>
  <si>
    <t>1s</t>
  </si>
  <si>
    <t>Replaced</t>
  </si>
  <si>
    <t>d29Si</t>
  </si>
  <si>
    <t>Row Labels</t>
  </si>
  <si>
    <t>Grand Total</t>
  </si>
  <si>
    <t>Average of d29Si</t>
  </si>
  <si>
    <t>Count of d29Si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</si>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</sst>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ers, John C" refreshedDate="46283.364853125" createdVersion="8" refreshedVersion="8" minRefreshableVersion="3" recordCount="54" xr:uid="{C190F02B-55DF-4134-9DE0-13B9029B88C7}">
  <cacheSource type="worksheet">
    <worksheetSource ref="A1:D55" sheet="Data"/>
  </cacheSource>
  <cacheFields count="4">
    <cacheField name="Sample" numFmtId="0">
      <sharedItems containsSemiMixedTypes="0" containsString="0" containsNumber="1" containsInteger="1" minValue="5" maxValue="16" count="7">
        <n v="15"/>
        <n v="16"/>
        <n v="11"/>
        <n v="14"/>
        <n v="5"/>
        <n v="6"/>
        <n v="7"/>
      </sharedItems>
    </cacheField>
    <cacheField name="Replaced" numFmtId="0">
      <sharedItems count="3">
        <s v="Y"/>
        <s v="P"/>
        <s v="N"/>
      </sharedItems>
    </cacheField>
    <cacheField name="d29Si" numFmtId="0">
      <sharedItems containsSemiMixedTypes="0" containsString="0" containsNumber="1" minValue="-60.07066982342679" maxValue="36807.619345524952"/>
    </cacheField>
    <cacheField name="1s" numFmtId="0">
      <sharedItems containsSemiMixedTypes="0" containsString="0" containsNumber="1" minValue="2.2942623395321132E-2" maxValue="9492.51926986317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x v="0"/>
    <x v="0"/>
    <n v="20051.25235313379"/>
    <n v="5171.1216660248792"/>
  </r>
  <r>
    <x v="0"/>
    <x v="1"/>
    <n v="159.7043852195761"/>
    <n v="41.189763712169125"/>
  </r>
  <r>
    <x v="0"/>
    <x v="2"/>
    <n v="1.3698790409777395"/>
    <n v="0.35493963604850343"/>
  </r>
  <r>
    <x v="0"/>
    <x v="2"/>
    <n v="0.9472813929625179"/>
    <n v="0.24499472027660035"/>
  </r>
  <r>
    <x v="0"/>
    <x v="2"/>
    <n v="0.2028976167485208"/>
    <n v="5.2460055662694863E-2"/>
  </r>
  <r>
    <x v="0"/>
    <x v="2"/>
    <n v="-0.25623151858167326"/>
    <n v="6.6302633332002703E-2"/>
  </r>
  <r>
    <x v="0"/>
    <x v="2"/>
    <n v="2.3035673760489761"/>
    <n v="0.5971036007911158"/>
  </r>
  <r>
    <x v="0"/>
    <x v="1"/>
    <n v="245.32213953983239"/>
    <n v="63.322554761927236"/>
  </r>
  <r>
    <x v="0"/>
    <x v="0"/>
    <n v="382.85714507232814"/>
    <n v="98.740180068156775"/>
  </r>
  <r>
    <x v="0"/>
    <x v="2"/>
    <n v="0.15414133503388605"/>
    <n v="3.9870462271725318E-2"/>
  </r>
  <r>
    <x v="0"/>
    <x v="2"/>
    <n v="9.7465632704674121"/>
    <n v="2.587536343938154"/>
  </r>
  <r>
    <x v="0"/>
    <x v="0"/>
    <n v="14949.084376704164"/>
    <n v="3855.3890606469909"/>
  </r>
  <r>
    <x v="0"/>
    <x v="0"/>
    <n v="17631.938039757577"/>
    <n v="4547.1932664181277"/>
  </r>
  <r>
    <x v="1"/>
    <x v="2"/>
    <n v="84.593260003938525"/>
    <n v="21.82172540341476"/>
  </r>
  <r>
    <x v="1"/>
    <x v="2"/>
    <n v="98.761300899681714"/>
    <n v="25.474319026313246"/>
  </r>
  <r>
    <x v="1"/>
    <x v="0"/>
    <n v="36807.619345524952"/>
    <n v="9492.5192698631708"/>
  </r>
  <r>
    <x v="1"/>
    <x v="2"/>
    <n v="3.28721670268739"/>
    <n v="0.85630765998062253"/>
  </r>
  <r>
    <x v="1"/>
    <x v="0"/>
    <n v="12989.976601765959"/>
    <n v="3350.8719887232319"/>
  </r>
  <r>
    <x v="1"/>
    <x v="2"/>
    <n v="-60.07066982342679"/>
    <n v="15.495906639156679"/>
  </r>
  <r>
    <x v="1"/>
    <x v="2"/>
    <n v="111.64763735385108"/>
    <n v="28.807394021090598"/>
  </r>
  <r>
    <x v="1"/>
    <x v="2"/>
    <n v="-1.9181026669947698"/>
    <n v="0.49700499212752375"/>
  </r>
  <r>
    <x v="1"/>
    <x v="1"/>
    <n v="141.87906032960052"/>
    <n v="36.592330400093012"/>
  </r>
  <r>
    <x v="1"/>
    <x v="2"/>
    <n v="5.9227630304465873"/>
    <n v="1.5681978266367118"/>
  </r>
  <r>
    <x v="1"/>
    <x v="0"/>
    <n v="3875.1619440583145"/>
    <n v="999.53692022076177"/>
  </r>
  <r>
    <x v="1"/>
    <x v="2"/>
    <n v="-2.5685693450367975"/>
    <n v="0.66558227354690391"/>
  </r>
  <r>
    <x v="2"/>
    <x v="2"/>
    <n v="-0.10133136775658524"/>
    <n v="2.6257941132958797E-2"/>
  </r>
  <r>
    <x v="2"/>
    <x v="2"/>
    <n v="-0.2786686322433507"/>
    <n v="7.201546271408743E-2"/>
  </r>
  <r>
    <x v="2"/>
    <x v="2"/>
    <n v="-1.7943354763281238"/>
    <n v="0.4636124643557557"/>
  </r>
  <r>
    <x v="3"/>
    <x v="2"/>
    <n v="2.2225467584136016"/>
    <n v="0.57817972908621995"/>
  </r>
  <r>
    <x v="3"/>
    <x v="1"/>
    <n v="113.38785076117274"/>
    <n v="29.258011905970307"/>
  </r>
  <r>
    <x v="3"/>
    <x v="0"/>
    <n v="1184.2566744884571"/>
    <n v="305.51237210340236"/>
  </r>
  <r>
    <x v="3"/>
    <x v="2"/>
    <n v="0.20526731035697132"/>
    <n v="5.3088990053573926E-2"/>
  </r>
  <r>
    <x v="3"/>
    <x v="2"/>
    <n v="0.22816519042634376"/>
    <n v="5.8918813306464354E-2"/>
  </r>
  <r>
    <x v="3"/>
    <x v="0"/>
    <n v="11575.638644789144"/>
    <n v="2985.3040807747361"/>
  </r>
  <r>
    <x v="3"/>
    <x v="2"/>
    <n v="8.8590869518734294E-2"/>
    <n v="2.2942623395321132E-2"/>
  </r>
  <r>
    <x v="3"/>
    <x v="2"/>
    <n v="-1.4597142806458407"/>
    <n v="0.37730121117411536"/>
  </r>
  <r>
    <x v="4"/>
    <x v="2"/>
    <n v="-1.8536263673293307"/>
    <n v="0.4793144611689738"/>
  </r>
  <r>
    <x v="4"/>
    <x v="2"/>
    <n v="-0.96769055420642403"/>
    <n v="0.25024538396174739"/>
  </r>
  <r>
    <x v="5"/>
    <x v="2"/>
    <n v="-2.1809156007748243"/>
    <n v="0.56417799662626167"/>
  </r>
  <r>
    <x v="5"/>
    <x v="2"/>
    <n v="-2.3083334119111676"/>
    <n v="0.59631070280212572"/>
  </r>
  <r>
    <x v="5"/>
    <x v="2"/>
    <n v="-0.9709103109450945"/>
    <n v="0.25109909466564256"/>
  </r>
  <r>
    <x v="4"/>
    <x v="2"/>
    <n v="-3.5248086125481137"/>
    <n v="0.91079489652908552"/>
  </r>
  <r>
    <x v="6"/>
    <x v="2"/>
    <n v="-1.8610445775549822"/>
    <n v="0.48107349866727217"/>
  </r>
  <r>
    <x v="6"/>
    <x v="2"/>
    <n v="-2.1329686436462048"/>
    <n v="0.55140854959884378"/>
  </r>
  <r>
    <x v="6"/>
    <x v="2"/>
    <n v="-2.8046366391223376"/>
    <n v="0.72513911037917489"/>
  </r>
  <r>
    <x v="6"/>
    <x v="2"/>
    <n v="1.0145435819823856"/>
    <n v="0.26272010883060681"/>
  </r>
  <r>
    <x v="6"/>
    <x v="2"/>
    <n v="5.9953910080847717"/>
    <n v="1.6311264661605283"/>
  </r>
  <r>
    <x v="6"/>
    <x v="2"/>
    <n v="9.8162700136548153"/>
    <n v="3.0274495569615896"/>
  </r>
  <r>
    <x v="6"/>
    <x v="2"/>
    <n v="3.5189751000586078"/>
    <n v="0.91611491523082167"/>
  </r>
  <r>
    <x v="6"/>
    <x v="2"/>
    <n v="3.7271131968314997"/>
    <n v="0.96740514991033899"/>
  </r>
  <r>
    <x v="6"/>
    <x v="2"/>
    <n v="-1.8604478081880593"/>
    <n v="0.48011573841593702"/>
  </r>
  <r>
    <x v="6"/>
    <x v="2"/>
    <n v="-4.0769181395666765"/>
    <n v="1.0530637041697066"/>
  </r>
  <r>
    <x v="6"/>
    <x v="2"/>
    <n v="-4.3992916138246851"/>
    <n v="1.1370760958312265"/>
  </r>
  <r>
    <x v="6"/>
    <x v="2"/>
    <n v="-3.8458401047367641"/>
    <n v="0.994837946705495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7BC3E9-83DD-42D6-A23A-AEEBDB6684EE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 rowPageCount="1" colPageCount="1"/>
  <pivotFields count="4">
    <pivotField axis="axisPage" multipleItemSelectionAllowed="1" showAll="0">
      <items count="8">
        <item h="1" x="4"/>
        <item h="1" x="5"/>
        <item h="1" x="6"/>
        <item h="1" x="2"/>
        <item x="3"/>
        <item x="0"/>
        <item x="1"/>
        <item t="default"/>
      </items>
    </pivotField>
    <pivotField axis="axisRow" showAll="0">
      <items count="4">
        <item x="2"/>
        <item x="1"/>
        <item x="0"/>
        <item t="default"/>
      </items>
    </pivotField>
    <pivotField dataField="1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Average of d29Si" fld="2" subtotal="average" baseField="1" baseItem="0"/>
    <dataField name="Count of d29Si" fld="2" subtotal="count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CB54AF-7A42-4262-B235-F81A60CB8AA7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 rowPageCount="1" colPageCount="1"/>
  <pivotFields count="4">
    <pivotField axis="axisRow" showAll="0">
      <items count="8">
        <item x="4"/>
        <item x="5"/>
        <item x="6"/>
        <item x="2"/>
        <item x="3"/>
        <item x="0"/>
        <item x="1"/>
        <item t="default"/>
      </items>
    </pivotField>
    <pivotField axis="axisPage" showAll="0">
      <items count="4">
        <item x="2"/>
        <item x="1"/>
        <item x="0"/>
        <item t="default"/>
      </items>
    </pivotField>
    <pivotField dataField="1" showAll="0"/>
    <pivotField showAll="0"/>
  </pivotFields>
  <rowFields count="1">
    <field x="0"/>
  </rowFields>
  <rowItems count="4"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1">
    <pageField fld="1" item="2" hier="-1"/>
  </pageFields>
  <dataFields count="2">
    <dataField name="Count of d29Si" fld="2" subtotal="count" baseField="0" baseItem="0"/>
    <dataField name="Average of d29Si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0D162-FD27-442C-BEDB-1D1295613D7B}">
  <dimension ref="A1:D55"/>
  <sheetViews>
    <sheetView tabSelected="1" workbookViewId="0"/>
  </sheetViews>
  <sheetFormatPr defaultRowHeight="14.5" x14ac:dyDescent="0.35"/>
  <cols>
    <col min="1" max="1" width="8" bestFit="1" customWidth="1"/>
    <col min="2" max="2" width="11.1796875" bestFit="1" customWidth="1"/>
    <col min="3" max="3" width="16.54296875" bestFit="1" customWidth="1"/>
    <col min="4" max="4" width="13.7265625" bestFit="1" customWidth="1"/>
  </cols>
  <sheetData>
    <row r="1" spans="1:4" x14ac:dyDescent="0.35">
      <c r="A1" t="s">
        <v>0</v>
      </c>
      <c r="B1" t="s">
        <v>5</v>
      </c>
      <c r="C1" t="s">
        <v>6</v>
      </c>
      <c r="D1" t="s">
        <v>4</v>
      </c>
    </row>
    <row r="2" spans="1:4" x14ac:dyDescent="0.35">
      <c r="A2">
        <v>5</v>
      </c>
      <c r="B2" t="s">
        <v>1</v>
      </c>
      <c r="C2">
        <v>-1.8536263673293307</v>
      </c>
      <c r="D2">
        <v>0.4793144611689738</v>
      </c>
    </row>
    <row r="3" spans="1:4" x14ac:dyDescent="0.35">
      <c r="A3">
        <v>5</v>
      </c>
      <c r="B3" t="s">
        <v>1</v>
      </c>
      <c r="C3">
        <v>-0.96769055420642403</v>
      </c>
      <c r="D3">
        <v>0.25024538396174739</v>
      </c>
    </row>
    <row r="4" spans="1:4" x14ac:dyDescent="0.35">
      <c r="A4">
        <v>5</v>
      </c>
      <c r="B4" t="s">
        <v>1</v>
      </c>
      <c r="C4">
        <v>-3.5248086125481137</v>
      </c>
      <c r="D4">
        <v>0.91079489652908552</v>
      </c>
    </row>
    <row r="5" spans="1:4" x14ac:dyDescent="0.35">
      <c r="A5">
        <v>6</v>
      </c>
      <c r="B5" t="s">
        <v>1</v>
      </c>
      <c r="C5">
        <v>-2.1809156007748243</v>
      </c>
      <c r="D5">
        <v>0.56417799662626167</v>
      </c>
    </row>
    <row r="6" spans="1:4" x14ac:dyDescent="0.35">
      <c r="A6">
        <v>6</v>
      </c>
      <c r="B6" t="s">
        <v>1</v>
      </c>
      <c r="C6">
        <v>-2.3083334119111676</v>
      </c>
      <c r="D6">
        <v>0.59631070280212572</v>
      </c>
    </row>
    <row r="7" spans="1:4" x14ac:dyDescent="0.35">
      <c r="A7">
        <v>6</v>
      </c>
      <c r="B7" t="s">
        <v>1</v>
      </c>
      <c r="C7">
        <v>-0.9709103109450945</v>
      </c>
      <c r="D7">
        <v>0.25109909466564256</v>
      </c>
    </row>
    <row r="8" spans="1:4" x14ac:dyDescent="0.35">
      <c r="A8">
        <v>7</v>
      </c>
      <c r="B8" t="s">
        <v>1</v>
      </c>
      <c r="C8">
        <v>-1.8610445775549822</v>
      </c>
      <c r="D8">
        <v>0.48107349866727217</v>
      </c>
    </row>
    <row r="9" spans="1:4" x14ac:dyDescent="0.35">
      <c r="A9">
        <v>7</v>
      </c>
      <c r="B9" t="s">
        <v>1</v>
      </c>
      <c r="C9">
        <v>-2.1329686436462048</v>
      </c>
      <c r="D9">
        <v>0.55140854959884378</v>
      </c>
    </row>
    <row r="10" spans="1:4" x14ac:dyDescent="0.35">
      <c r="A10">
        <v>7</v>
      </c>
      <c r="B10" t="s">
        <v>1</v>
      </c>
      <c r="C10">
        <v>-2.8046366391223376</v>
      </c>
      <c r="D10">
        <v>0.72513911037917489</v>
      </c>
    </row>
    <row r="11" spans="1:4" x14ac:dyDescent="0.35">
      <c r="A11">
        <v>7</v>
      </c>
      <c r="B11" t="s">
        <v>1</v>
      </c>
      <c r="C11">
        <v>1.0145435819823856</v>
      </c>
      <c r="D11">
        <v>0.26272010883060681</v>
      </c>
    </row>
    <row r="12" spans="1:4" x14ac:dyDescent="0.35">
      <c r="A12">
        <v>7</v>
      </c>
      <c r="B12" t="s">
        <v>1</v>
      </c>
      <c r="C12">
        <v>5.9953910080847717</v>
      </c>
      <c r="D12">
        <v>1.6311264661605283</v>
      </c>
    </row>
    <row r="13" spans="1:4" x14ac:dyDescent="0.35">
      <c r="A13">
        <v>7</v>
      </c>
      <c r="B13" t="s">
        <v>1</v>
      </c>
      <c r="C13">
        <v>9.8162700136548153</v>
      </c>
      <c r="D13">
        <v>3.0274495569615896</v>
      </c>
    </row>
    <row r="14" spans="1:4" x14ac:dyDescent="0.35">
      <c r="A14">
        <v>7</v>
      </c>
      <c r="B14" t="s">
        <v>1</v>
      </c>
      <c r="C14">
        <v>3.5189751000586078</v>
      </c>
      <c r="D14">
        <v>0.91611491523082167</v>
      </c>
    </row>
    <row r="15" spans="1:4" x14ac:dyDescent="0.35">
      <c r="A15">
        <v>7</v>
      </c>
      <c r="B15" t="s">
        <v>1</v>
      </c>
      <c r="C15">
        <v>3.7271131968314997</v>
      </c>
      <c r="D15">
        <v>0.96740514991033899</v>
      </c>
    </row>
    <row r="16" spans="1:4" x14ac:dyDescent="0.35">
      <c r="A16">
        <v>7</v>
      </c>
      <c r="B16" t="s">
        <v>1</v>
      </c>
      <c r="C16">
        <v>-1.8604478081880593</v>
      </c>
      <c r="D16">
        <v>0.48011573841593702</v>
      </c>
    </row>
    <row r="17" spans="1:4" x14ac:dyDescent="0.35">
      <c r="A17">
        <v>7</v>
      </c>
      <c r="B17" t="s">
        <v>1</v>
      </c>
      <c r="C17">
        <v>-4.0769181395666765</v>
      </c>
      <c r="D17">
        <v>1.0530637041697066</v>
      </c>
    </row>
    <row r="18" spans="1:4" x14ac:dyDescent="0.35">
      <c r="A18">
        <v>7</v>
      </c>
      <c r="B18" t="s">
        <v>1</v>
      </c>
      <c r="C18">
        <v>-4.3992916138246851</v>
      </c>
      <c r="D18">
        <v>1.1370760958312265</v>
      </c>
    </row>
    <row r="19" spans="1:4" x14ac:dyDescent="0.35">
      <c r="A19">
        <v>7</v>
      </c>
      <c r="B19" t="s">
        <v>1</v>
      </c>
      <c r="C19">
        <v>-3.8458401047367641</v>
      </c>
      <c r="D19">
        <v>0.99483794670549597</v>
      </c>
    </row>
    <row r="20" spans="1:4" x14ac:dyDescent="0.35">
      <c r="A20">
        <v>11</v>
      </c>
      <c r="B20" t="s">
        <v>1</v>
      </c>
      <c r="C20">
        <v>-0.10133136775658524</v>
      </c>
      <c r="D20">
        <v>2.6257941132958797E-2</v>
      </c>
    </row>
    <row r="21" spans="1:4" x14ac:dyDescent="0.35">
      <c r="A21">
        <v>11</v>
      </c>
      <c r="B21" t="s">
        <v>1</v>
      </c>
      <c r="C21">
        <v>-0.2786686322433507</v>
      </c>
      <c r="D21">
        <v>7.201546271408743E-2</v>
      </c>
    </row>
    <row r="22" spans="1:4" x14ac:dyDescent="0.35">
      <c r="A22">
        <v>11</v>
      </c>
      <c r="B22" t="s">
        <v>1</v>
      </c>
      <c r="C22">
        <v>-1.7943354763281238</v>
      </c>
      <c r="D22">
        <v>0.4636124643557557</v>
      </c>
    </row>
    <row r="23" spans="1:4" x14ac:dyDescent="0.35">
      <c r="A23">
        <v>14</v>
      </c>
      <c r="B23" t="s">
        <v>1</v>
      </c>
      <c r="C23">
        <v>2.2225467584136016</v>
      </c>
      <c r="D23">
        <v>0.57817972908621995</v>
      </c>
    </row>
    <row r="24" spans="1:4" x14ac:dyDescent="0.35">
      <c r="A24">
        <v>14</v>
      </c>
      <c r="B24" t="s">
        <v>3</v>
      </c>
      <c r="C24">
        <v>113.38785076117274</v>
      </c>
      <c r="D24">
        <v>29.258011905970307</v>
      </c>
    </row>
    <row r="25" spans="1:4" x14ac:dyDescent="0.35">
      <c r="A25">
        <v>14</v>
      </c>
      <c r="B25" t="s">
        <v>2</v>
      </c>
      <c r="C25">
        <v>1184.2566744884571</v>
      </c>
      <c r="D25">
        <v>305.51237210340236</v>
      </c>
    </row>
    <row r="26" spans="1:4" x14ac:dyDescent="0.35">
      <c r="A26">
        <v>14</v>
      </c>
      <c r="B26" t="s">
        <v>1</v>
      </c>
      <c r="C26">
        <v>0.20526731035697132</v>
      </c>
      <c r="D26">
        <v>5.3088990053573926E-2</v>
      </c>
    </row>
    <row r="27" spans="1:4" x14ac:dyDescent="0.35">
      <c r="A27">
        <v>14</v>
      </c>
      <c r="B27" t="s">
        <v>1</v>
      </c>
      <c r="C27">
        <v>0.22816519042634376</v>
      </c>
      <c r="D27">
        <v>5.8918813306464354E-2</v>
      </c>
    </row>
    <row r="28" spans="1:4" x14ac:dyDescent="0.35">
      <c r="A28">
        <v>14</v>
      </c>
      <c r="B28" t="s">
        <v>2</v>
      </c>
      <c r="C28">
        <v>11575.638644789144</v>
      </c>
      <c r="D28">
        <v>2985.3040807747361</v>
      </c>
    </row>
    <row r="29" spans="1:4" x14ac:dyDescent="0.35">
      <c r="A29">
        <v>14</v>
      </c>
      <c r="B29" t="s">
        <v>1</v>
      </c>
      <c r="C29">
        <v>8.8590869518734294E-2</v>
      </c>
      <c r="D29">
        <v>2.2942623395321132E-2</v>
      </c>
    </row>
    <row r="30" spans="1:4" x14ac:dyDescent="0.35">
      <c r="A30">
        <v>14</v>
      </c>
      <c r="B30" t="s">
        <v>1</v>
      </c>
      <c r="C30">
        <v>-1.4597142806458407</v>
      </c>
      <c r="D30">
        <v>0.37730121117411536</v>
      </c>
    </row>
    <row r="31" spans="1:4" x14ac:dyDescent="0.35">
      <c r="A31">
        <v>15</v>
      </c>
      <c r="B31" t="s">
        <v>2</v>
      </c>
      <c r="C31">
        <v>20051.25235313379</v>
      </c>
      <c r="D31">
        <v>5171.1216660248792</v>
      </c>
    </row>
    <row r="32" spans="1:4" x14ac:dyDescent="0.35">
      <c r="A32">
        <v>15</v>
      </c>
      <c r="B32" t="s">
        <v>3</v>
      </c>
      <c r="C32">
        <v>159.7043852195761</v>
      </c>
      <c r="D32">
        <v>41.189763712169125</v>
      </c>
    </row>
    <row r="33" spans="1:4" x14ac:dyDescent="0.35">
      <c r="A33">
        <v>15</v>
      </c>
      <c r="B33" t="s">
        <v>1</v>
      </c>
      <c r="C33">
        <v>1.3698790409777395</v>
      </c>
      <c r="D33">
        <v>0.35493963604850343</v>
      </c>
    </row>
    <row r="34" spans="1:4" x14ac:dyDescent="0.35">
      <c r="A34">
        <v>15</v>
      </c>
      <c r="B34" t="s">
        <v>1</v>
      </c>
      <c r="C34">
        <v>0.9472813929625179</v>
      </c>
      <c r="D34">
        <v>0.24499472027660035</v>
      </c>
    </row>
    <row r="35" spans="1:4" x14ac:dyDescent="0.35">
      <c r="A35">
        <v>15</v>
      </c>
      <c r="B35" t="s">
        <v>1</v>
      </c>
      <c r="C35">
        <v>0.2028976167485208</v>
      </c>
      <c r="D35">
        <v>5.2460055662694863E-2</v>
      </c>
    </row>
    <row r="36" spans="1:4" x14ac:dyDescent="0.35">
      <c r="A36">
        <v>15</v>
      </c>
      <c r="B36" t="s">
        <v>1</v>
      </c>
      <c r="C36">
        <v>-0.25623151858167326</v>
      </c>
      <c r="D36">
        <v>6.6302633332002703E-2</v>
      </c>
    </row>
    <row r="37" spans="1:4" x14ac:dyDescent="0.35">
      <c r="A37">
        <v>15</v>
      </c>
      <c r="B37" t="s">
        <v>1</v>
      </c>
      <c r="C37">
        <v>2.3035673760489761</v>
      </c>
      <c r="D37">
        <v>0.5971036007911158</v>
      </c>
    </row>
    <row r="38" spans="1:4" x14ac:dyDescent="0.35">
      <c r="A38">
        <v>15</v>
      </c>
      <c r="B38" t="s">
        <v>3</v>
      </c>
      <c r="C38">
        <v>245.32213953983239</v>
      </c>
      <c r="D38">
        <v>63.322554761927236</v>
      </c>
    </row>
    <row r="39" spans="1:4" x14ac:dyDescent="0.35">
      <c r="A39">
        <v>15</v>
      </c>
      <c r="B39" t="s">
        <v>2</v>
      </c>
      <c r="C39">
        <v>382.85714507232814</v>
      </c>
      <c r="D39">
        <v>98.740180068156775</v>
      </c>
    </row>
    <row r="40" spans="1:4" x14ac:dyDescent="0.35">
      <c r="A40">
        <v>15</v>
      </c>
      <c r="B40" t="s">
        <v>1</v>
      </c>
      <c r="C40">
        <v>0.15414133503388605</v>
      </c>
      <c r="D40">
        <v>3.9870462271725318E-2</v>
      </c>
    </row>
    <row r="41" spans="1:4" x14ac:dyDescent="0.35">
      <c r="A41">
        <v>15</v>
      </c>
      <c r="B41" t="s">
        <v>1</v>
      </c>
      <c r="C41">
        <v>9.7465632704674121</v>
      </c>
      <c r="D41">
        <v>2.587536343938154</v>
      </c>
    </row>
    <row r="42" spans="1:4" x14ac:dyDescent="0.35">
      <c r="A42">
        <v>15</v>
      </c>
      <c r="B42" t="s">
        <v>2</v>
      </c>
      <c r="C42">
        <v>14949.084376704164</v>
      </c>
      <c r="D42">
        <v>3855.3890606469909</v>
      </c>
    </row>
    <row r="43" spans="1:4" x14ac:dyDescent="0.35">
      <c r="A43">
        <v>15</v>
      </c>
      <c r="B43" t="s">
        <v>2</v>
      </c>
      <c r="C43">
        <v>17631.938039757577</v>
      </c>
      <c r="D43">
        <v>4547.1932664181277</v>
      </c>
    </row>
    <row r="44" spans="1:4" x14ac:dyDescent="0.35">
      <c r="A44">
        <v>16</v>
      </c>
      <c r="B44" t="s">
        <v>1</v>
      </c>
      <c r="C44">
        <v>84.593260003938525</v>
      </c>
      <c r="D44">
        <v>21.82172540341476</v>
      </c>
    </row>
    <row r="45" spans="1:4" x14ac:dyDescent="0.35">
      <c r="A45">
        <v>16</v>
      </c>
      <c r="B45" t="s">
        <v>1</v>
      </c>
      <c r="C45">
        <v>98.761300899681714</v>
      </c>
      <c r="D45">
        <v>25.474319026313246</v>
      </c>
    </row>
    <row r="46" spans="1:4" x14ac:dyDescent="0.35">
      <c r="A46">
        <v>16</v>
      </c>
      <c r="B46" t="s">
        <v>2</v>
      </c>
      <c r="C46">
        <v>36807.619345524952</v>
      </c>
      <c r="D46">
        <v>9492.5192698631708</v>
      </c>
    </row>
    <row r="47" spans="1:4" x14ac:dyDescent="0.35">
      <c r="A47">
        <v>16</v>
      </c>
      <c r="B47" t="s">
        <v>1</v>
      </c>
      <c r="C47">
        <v>3.28721670268739</v>
      </c>
      <c r="D47">
        <v>0.85630765998062253</v>
      </c>
    </row>
    <row r="48" spans="1:4" x14ac:dyDescent="0.35">
      <c r="A48">
        <v>16</v>
      </c>
      <c r="B48" t="s">
        <v>2</v>
      </c>
      <c r="C48">
        <v>12989.976601765959</v>
      </c>
      <c r="D48">
        <v>3350.8719887232319</v>
      </c>
    </row>
    <row r="49" spans="1:4" x14ac:dyDescent="0.35">
      <c r="A49">
        <v>16</v>
      </c>
      <c r="B49" t="s">
        <v>1</v>
      </c>
      <c r="C49">
        <v>-60.07066982342679</v>
      </c>
      <c r="D49">
        <v>15.495906639156679</v>
      </c>
    </row>
    <row r="50" spans="1:4" x14ac:dyDescent="0.35">
      <c r="A50">
        <v>16</v>
      </c>
      <c r="B50" t="s">
        <v>1</v>
      </c>
      <c r="C50">
        <v>111.64763735385108</v>
      </c>
      <c r="D50">
        <v>28.807394021090598</v>
      </c>
    </row>
    <row r="51" spans="1:4" x14ac:dyDescent="0.35">
      <c r="A51">
        <v>16</v>
      </c>
      <c r="B51" t="s">
        <v>1</v>
      </c>
      <c r="C51">
        <v>-1.9181026669947698</v>
      </c>
      <c r="D51">
        <v>0.49700499212752375</v>
      </c>
    </row>
    <row r="52" spans="1:4" x14ac:dyDescent="0.35">
      <c r="A52">
        <v>16</v>
      </c>
      <c r="B52" t="s">
        <v>3</v>
      </c>
      <c r="C52">
        <v>141.87906032960052</v>
      </c>
      <c r="D52">
        <v>36.592330400093012</v>
      </c>
    </row>
    <row r="53" spans="1:4" x14ac:dyDescent="0.35">
      <c r="A53">
        <v>16</v>
      </c>
      <c r="B53" t="s">
        <v>1</v>
      </c>
      <c r="C53">
        <v>5.9227630304465873</v>
      </c>
      <c r="D53">
        <v>1.5681978266367118</v>
      </c>
    </row>
    <row r="54" spans="1:4" x14ac:dyDescent="0.35">
      <c r="A54">
        <v>16</v>
      </c>
      <c r="B54" t="s">
        <v>2</v>
      </c>
      <c r="C54">
        <v>3875.1619440583145</v>
      </c>
      <c r="D54">
        <v>999.53692022076177</v>
      </c>
    </row>
    <row r="55" spans="1:4" x14ac:dyDescent="0.35">
      <c r="A55">
        <v>16</v>
      </c>
      <c r="B55" t="s">
        <v>1</v>
      </c>
      <c r="C55">
        <v>-2.5685693450367975</v>
      </c>
      <c r="D55">
        <v>0.66558227354690391</v>
      </c>
    </row>
  </sheetData>
  <sortState xmlns:xlrd2="http://schemas.microsoft.com/office/spreadsheetml/2017/richdata2" ref="A2:D55">
    <sortCondition ref="A2:A5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195A3-698D-497F-88F1-427BA8F6ADAB}">
  <dimension ref="A1:C7"/>
  <sheetViews>
    <sheetView workbookViewId="0">
      <selection activeCell="C3" sqref="C3"/>
    </sheetView>
  </sheetViews>
  <sheetFormatPr defaultRowHeight="14.5" x14ac:dyDescent="0.35"/>
  <cols>
    <col min="1" max="1" width="12.453125" bestFit="1" customWidth="1"/>
    <col min="2" max="2" width="15.81640625" bestFit="1" customWidth="1"/>
    <col min="3" max="4" width="13.08984375" bestFit="1" customWidth="1"/>
  </cols>
  <sheetData>
    <row r="1" spans="1:3" x14ac:dyDescent="0.35">
      <c r="A1" s="1" t="s">
        <v>0</v>
      </c>
      <c r="B1" t="s">
        <v>11</v>
      </c>
    </row>
    <row r="3" spans="1:3" x14ac:dyDescent="0.35">
      <c r="A3" s="1" t="s">
        <v>7</v>
      </c>
      <c r="B3" t="s">
        <v>9</v>
      </c>
      <c r="C3" t="s">
        <v>10</v>
      </c>
    </row>
    <row r="4" spans="1:3" x14ac:dyDescent="0.35">
      <c r="A4" s="2" t="s">
        <v>1</v>
      </c>
      <c r="B4" s="3">
        <v>12.770389525843708</v>
      </c>
      <c r="C4" s="3">
        <v>20</v>
      </c>
    </row>
    <row r="5" spans="1:3" x14ac:dyDescent="0.35">
      <c r="A5" s="2" t="s">
        <v>3</v>
      </c>
      <c r="B5" s="3">
        <v>165.07335896254546</v>
      </c>
      <c r="C5" s="3">
        <v>4</v>
      </c>
    </row>
    <row r="6" spans="1:3" x14ac:dyDescent="0.35">
      <c r="A6" s="2" t="s">
        <v>2</v>
      </c>
      <c r="B6" s="3">
        <v>13271.976125032741</v>
      </c>
      <c r="C6" s="3">
        <v>9</v>
      </c>
    </row>
    <row r="7" spans="1:3" x14ac:dyDescent="0.35">
      <c r="A7" s="2" t="s">
        <v>8</v>
      </c>
      <c r="B7" s="3">
        <v>3647.3783742927799</v>
      </c>
      <c r="C7" s="3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14CA7-DE3B-404E-8A61-358F6FCC0E88}">
  <dimension ref="A1:C7"/>
  <sheetViews>
    <sheetView workbookViewId="0">
      <selection activeCell="A3" sqref="A3"/>
    </sheetView>
  </sheetViews>
  <sheetFormatPr defaultRowHeight="14.5" x14ac:dyDescent="0.35"/>
  <cols>
    <col min="1" max="1" width="12.90625" bestFit="1" customWidth="1"/>
    <col min="2" max="2" width="13.6328125" bestFit="1" customWidth="1"/>
    <col min="3" max="3" width="15.08984375" bestFit="1" customWidth="1"/>
  </cols>
  <sheetData>
    <row r="1" spans="1:3" x14ac:dyDescent="0.35">
      <c r="A1" s="1" t="s">
        <v>5</v>
      </c>
      <c r="B1" t="s">
        <v>2</v>
      </c>
    </row>
    <row r="3" spans="1:3" x14ac:dyDescent="0.35">
      <c r="A3" s="1" t="s">
        <v>7</v>
      </c>
      <c r="B3" t="s">
        <v>10</v>
      </c>
      <c r="C3" t="s">
        <v>9</v>
      </c>
    </row>
    <row r="4" spans="1:3" x14ac:dyDescent="0.35">
      <c r="A4" s="2">
        <v>14</v>
      </c>
      <c r="B4">
        <v>2</v>
      </c>
      <c r="C4">
        <v>6379.9476596388004</v>
      </c>
    </row>
    <row r="5" spans="1:3" x14ac:dyDescent="0.35">
      <c r="A5" s="2">
        <v>15</v>
      </c>
      <c r="B5">
        <v>4</v>
      </c>
      <c r="C5">
        <v>13253.782978666964</v>
      </c>
    </row>
    <row r="6" spans="1:3" x14ac:dyDescent="0.35">
      <c r="A6" s="2">
        <v>16</v>
      </c>
      <c r="B6">
        <v>3</v>
      </c>
      <c r="C6">
        <v>17890.919297116408</v>
      </c>
    </row>
    <row r="7" spans="1:3" x14ac:dyDescent="0.35">
      <c r="A7" s="2" t="s">
        <v>8</v>
      </c>
      <c r="B7">
        <v>9</v>
      </c>
      <c r="C7">
        <v>13271.976125032741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PivotTable</vt:lpstr>
      <vt:lpstr>PT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Ayers</dc:creator>
  <cp:lastModifiedBy>John Ayers</cp:lastModifiedBy>
  <dcterms:created xsi:type="dcterms:W3CDTF">2026-08-13T18:18:19Z</dcterms:created>
  <dcterms:modified xsi:type="dcterms:W3CDTF">2026-09-18T18:15:17Z</dcterms:modified>
</cp:coreProperties>
</file>