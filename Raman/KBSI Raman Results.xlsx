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Experiments/Raman results/"/>
    </mc:Choice>
  </mc:AlternateContent>
  <xr:revisionPtr revIDLastSave="8" documentId="13_ncr:1_{78036D73-2C9A-459D-87CF-BFB4D55E370B}" xr6:coauthVersionLast="47" xr6:coauthVersionMax="47" xr10:uidLastSave="{D2B4ED22-1366-4717-AC37-90C66EACB6D0}"/>
  <bookViews>
    <workbookView minimized="1" xWindow="2460" yWindow="2610" windowWidth="21600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4" i="1"/>
  <c r="C5" i="1"/>
  <c r="C6" i="1"/>
  <c r="C7" i="1"/>
  <c r="C8" i="1"/>
  <c r="C9" i="1"/>
  <c r="C11" i="1"/>
  <c r="C3" i="1"/>
  <c r="C2" i="1"/>
</calcChain>
</file>

<file path=xl/sharedStrings.xml><?xml version="1.0" encoding="utf-8"?>
<sst xmlns="http://schemas.openxmlformats.org/spreadsheetml/2006/main" count="21" uniqueCount="16">
  <si>
    <t>V3</t>
    <phoneticPr fontId="2" type="noConversion"/>
  </si>
  <si>
    <t>alpha dose</t>
    <phoneticPr fontId="2" type="noConversion"/>
  </si>
  <si>
    <t>AFG-3-1</t>
  </si>
  <si>
    <t>AFG 3-2</t>
  </si>
  <si>
    <t>AFG 4-1</t>
  </si>
  <si>
    <t>AFG 4-2</t>
  </si>
  <si>
    <t>AFG 4-4</t>
  </si>
  <si>
    <t>AFG-5-1</t>
  </si>
  <si>
    <t>AGF-5-2</t>
  </si>
  <si>
    <t>AGF-5-3</t>
  </si>
  <si>
    <t>AFG-1-1</t>
    <phoneticPr fontId="1" type="noConversion"/>
  </si>
  <si>
    <t>AFG-1-2</t>
    <phoneticPr fontId="1" type="noConversion"/>
  </si>
  <si>
    <t>V3 peak center</t>
    <phoneticPr fontId="1" type="noConversion"/>
  </si>
  <si>
    <t>BSEI brightness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</si>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</sst>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Times New Roman"/>
      <family val="2"/>
      <charset val="134"/>
    </font>
    <font>
      <b/>
      <sz val="12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9" sqref="D9"/>
    </sheetView>
  </sheetViews>
  <sheetFormatPr defaultRowHeight="15"/>
  <sheetData>
    <row r="1" spans="1:9">
      <c r="A1" s="1"/>
      <c r="B1" s="1" t="s">
        <v>0</v>
      </c>
      <c r="C1" s="1" t="s">
        <v>1</v>
      </c>
      <c r="D1" s="1" t="s">
        <v>13</v>
      </c>
      <c r="E1" s="1" t="s">
        <v>12</v>
      </c>
      <c r="F1" s="1"/>
      <c r="G1" s="1"/>
      <c r="H1" s="1"/>
      <c r="I1" s="1"/>
    </row>
    <row r="2" spans="1:9" ht="15.75">
      <c r="A2" s="3" t="s">
        <v>10</v>
      </c>
      <c r="B2" s="2">
        <v>26.465060000000001</v>
      </c>
      <c r="C2" s="1">
        <f t="shared" ref="C2:C3" si="0">-(LN((34.96-B2)/33.16))/(5.32*10^(-19))</f>
        <v>2.5599128536585789E+18</v>
      </c>
      <c r="D2" s="2" t="s">
        <v>14</v>
      </c>
      <c r="E2" s="1">
        <v>1001.15</v>
      </c>
      <c r="F2" s="1"/>
      <c r="G2" s="2"/>
      <c r="H2" s="1"/>
      <c r="I2" s="1"/>
    </row>
    <row r="3" spans="1:9" ht="15.75">
      <c r="A3" s="3" t="s">
        <v>11</v>
      </c>
      <c r="B3" s="2">
        <v>12.42844</v>
      </c>
      <c r="C3" s="1">
        <f t="shared" si="0"/>
        <v>7.263671752030176E+17</v>
      </c>
      <c r="D3" s="2" t="s">
        <v>15</v>
      </c>
      <c r="E3" s="1">
        <v>1003.15</v>
      </c>
      <c r="F3" s="1"/>
      <c r="G3" s="2"/>
      <c r="H3" s="1"/>
      <c r="I3" s="1"/>
    </row>
    <row r="4" spans="1:9" ht="15.75">
      <c r="A4" s="3" t="s">
        <v>2</v>
      </c>
      <c r="B4" s="2">
        <v>11.059939999999999</v>
      </c>
      <c r="C4" s="1">
        <f t="shared" ref="C4:C11" si="1">-(LN((34.96-B4)/33.16))/(5.32*10^(-19))</f>
        <v>6.1553263321903974E+17</v>
      </c>
      <c r="D4" s="2" t="s">
        <v>15</v>
      </c>
      <c r="E4" s="1"/>
      <c r="F4" s="1"/>
      <c r="G4" s="2"/>
      <c r="H4" s="1"/>
      <c r="I4" s="1"/>
    </row>
    <row r="5" spans="1:9" ht="15.75">
      <c r="A5" s="3" t="s">
        <v>3</v>
      </c>
      <c r="B5" s="2">
        <v>8.0153210000000001</v>
      </c>
      <c r="C5" s="1">
        <f t="shared" si="1"/>
        <v>3.9014754155831974E+17</v>
      </c>
      <c r="D5" s="2" t="s">
        <v>15</v>
      </c>
      <c r="E5" s="1"/>
      <c r="F5" s="1"/>
      <c r="G5" s="2"/>
      <c r="H5" s="1"/>
      <c r="I5" s="1"/>
    </row>
    <row r="6" spans="1:9" ht="15.75">
      <c r="A6" s="3" t="s">
        <v>4</v>
      </c>
      <c r="B6" s="2">
        <v>30.975999999999999</v>
      </c>
      <c r="C6" s="1">
        <f t="shared" si="1"/>
        <v>3.9831917115502664E+18</v>
      </c>
      <c r="D6" s="2" t="s">
        <v>14</v>
      </c>
      <c r="E6" s="1"/>
      <c r="F6" s="1"/>
      <c r="G6" s="2"/>
      <c r="H6" s="1"/>
      <c r="I6" s="1"/>
    </row>
    <row r="7" spans="1:9" ht="15.75">
      <c r="A7" s="3" t="s">
        <v>5</v>
      </c>
      <c r="B7" s="2">
        <v>7.0661779999999998</v>
      </c>
      <c r="C7" s="1">
        <f t="shared" si="1"/>
        <v>3.2507349558569587E+17</v>
      </c>
      <c r="D7" s="1" t="s">
        <v>15</v>
      </c>
      <c r="E7" s="1"/>
      <c r="F7" s="1"/>
      <c r="G7" s="1"/>
      <c r="H7" s="1"/>
      <c r="I7" s="1"/>
    </row>
    <row r="8" spans="1:9" ht="15.75">
      <c r="A8" s="3" t="s">
        <v>6</v>
      </c>
      <c r="B8" s="2">
        <v>17.958169999999999</v>
      </c>
      <c r="C8" s="1">
        <f t="shared" si="1"/>
        <v>1.2556829792210209E+18</v>
      </c>
      <c r="D8" s="1" t="s">
        <v>14</v>
      </c>
      <c r="E8" s="1"/>
      <c r="F8" s="1"/>
      <c r="G8" s="1"/>
      <c r="H8" s="1"/>
      <c r="I8" s="1"/>
    </row>
    <row r="9" spans="1:9" ht="15.75">
      <c r="A9" s="3" t="s">
        <v>7</v>
      </c>
      <c r="B9" s="1">
        <v>89</v>
      </c>
      <c r="C9" s="1" t="e">
        <f t="shared" si="1"/>
        <v>#NUM!</v>
      </c>
      <c r="D9" s="2"/>
      <c r="E9" s="1">
        <v>800</v>
      </c>
      <c r="F9" s="1"/>
      <c r="G9" s="2"/>
      <c r="H9" s="1"/>
      <c r="I9" s="1"/>
    </row>
    <row r="10" spans="1:9" ht="15.75">
      <c r="A10" s="3" t="s">
        <v>8</v>
      </c>
      <c r="B10" s="2">
        <v>141</v>
      </c>
      <c r="C10" s="1" t="e">
        <f>-(LN((34.96-B10)/33.16))/(5.32*10^(-19))</f>
        <v>#NUM!</v>
      </c>
      <c r="D10" s="2"/>
      <c r="E10" s="1">
        <v>800</v>
      </c>
      <c r="F10" s="1"/>
      <c r="G10" s="2"/>
      <c r="H10" s="1"/>
      <c r="I10" s="1"/>
    </row>
    <row r="11" spans="1:9" ht="15.75">
      <c r="A11" s="3" t="s">
        <v>9</v>
      </c>
      <c r="B11" s="2">
        <v>162</v>
      </c>
      <c r="C11" s="1" t="e">
        <f t="shared" si="1"/>
        <v>#NUM!</v>
      </c>
      <c r="D11" s="2"/>
      <c r="E11" s="1">
        <v>800</v>
      </c>
      <c r="F11" s="1"/>
      <c r="G11" s="2"/>
      <c r="H11" s="1"/>
      <c r="I11" s="1"/>
    </row>
    <row r="12" spans="1:9">
      <c r="A12" s="2"/>
      <c r="B12" s="2"/>
      <c r="C12" s="1"/>
      <c r="D12" s="2"/>
      <c r="E12" s="1"/>
      <c r="F12" s="1"/>
      <c r="G12" s="2"/>
      <c r="H12" s="1"/>
      <c r="I12" s="1"/>
    </row>
    <row r="13" spans="1:9">
      <c r="A13" s="2"/>
      <c r="B13" s="2"/>
      <c r="C13" s="1"/>
      <c r="D13" s="2"/>
      <c r="E13" s="1"/>
      <c r="F13" s="1"/>
      <c r="G13" s="2"/>
      <c r="H13" s="1"/>
      <c r="I13" s="1"/>
    </row>
    <row r="14" spans="1:9">
      <c r="A14" s="2"/>
      <c r="B14" s="2"/>
      <c r="C14" s="1"/>
      <c r="D14" s="2"/>
      <c r="E14" s="1"/>
      <c r="F14" s="1"/>
      <c r="G14" s="2"/>
      <c r="H14" s="1"/>
      <c r="I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cug</dc:creator>
  <cp:lastModifiedBy>Ayers, John C</cp:lastModifiedBy>
  <dcterms:created xsi:type="dcterms:W3CDTF">2015-06-05T18:19:34Z</dcterms:created>
  <dcterms:modified xsi:type="dcterms:W3CDTF">2025-09-30T15:11:16Z</dcterms:modified>
</cp:coreProperties>
</file>