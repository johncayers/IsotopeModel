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fs\zircon recrystalization\experiment results\拉曼数据处理\zircon 016\"/>
    </mc:Choice>
  </mc:AlternateContent>
  <xr:revisionPtr revIDLastSave="0" documentId="8_{B80290DA-0D70-4378-9519-401EA07D6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pha dose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0" l="1"/>
  <c r="C7" i="10"/>
  <c r="C8" i="10"/>
  <c r="C9" i="10"/>
  <c r="C3" i="10" l="1"/>
  <c r="C4" i="10"/>
  <c r="C5" i="10"/>
  <c r="C2" i="10"/>
  <c r="J4" i="10"/>
  <c r="J5" i="10"/>
  <c r="J6" i="10"/>
  <c r="J7" i="10"/>
  <c r="F3" i="10"/>
  <c r="G3" i="10" s="1"/>
  <c r="F4" i="10"/>
  <c r="G4" i="10" s="1"/>
  <c r="F5" i="10"/>
  <c r="G5" i="10" s="1"/>
  <c r="F6" i="10"/>
  <c r="G6" i="10" s="1"/>
  <c r="F7" i="10"/>
  <c r="G7" i="10" s="1"/>
  <c r="J2" i="10"/>
  <c r="F2" i="10"/>
  <c r="G2" i="10" s="1"/>
  <c r="J3" i="10" l="1"/>
</calcChain>
</file>

<file path=xl/sharedStrings.xml><?xml version="1.0" encoding="utf-8"?>
<sst xmlns="http://schemas.openxmlformats.org/spreadsheetml/2006/main" count="27" uniqueCount="24">
  <si>
    <t>Eg</t>
    <phoneticPr fontId="1" type="noConversion"/>
  </si>
  <si>
    <t>A1</t>
    <phoneticPr fontId="1" type="noConversion"/>
  </si>
  <si>
    <t>A2</t>
    <phoneticPr fontId="1" type="noConversion"/>
  </si>
  <si>
    <t>B</t>
    <phoneticPr fontId="1" type="noConversion"/>
  </si>
  <si>
    <t>5.32*10^(-19)</t>
    <phoneticPr fontId="1" type="noConversion"/>
  </si>
  <si>
    <t>alpha dose</t>
    <phoneticPr fontId="1" type="noConversion"/>
  </si>
  <si>
    <t>V2</t>
    <phoneticPr fontId="1" type="noConversion"/>
  </si>
  <si>
    <t>Eg</t>
    <phoneticPr fontId="1" type="noConversion"/>
  </si>
  <si>
    <t>C1</t>
    <phoneticPr fontId="1" type="noConversion"/>
  </si>
  <si>
    <t>C2</t>
    <phoneticPr fontId="1" type="noConversion"/>
  </si>
  <si>
    <t>V2</t>
    <phoneticPr fontId="1" type="noConversion"/>
  </si>
  <si>
    <t>V3</t>
    <phoneticPr fontId="1" type="noConversion"/>
  </si>
  <si>
    <t>v3-V2</t>
    <phoneticPr fontId="1" type="noConversion"/>
  </si>
  <si>
    <t>v3-EG</t>
    <phoneticPr fontId="1" type="noConversion"/>
  </si>
  <si>
    <t>Zircon 016-1</t>
    <phoneticPr fontId="1" type="noConversion"/>
  </si>
  <si>
    <t>Zircon 016-3</t>
    <phoneticPr fontId="1" type="noConversion"/>
  </si>
  <si>
    <t>Zircon 016-5</t>
    <phoneticPr fontId="1" type="noConversion"/>
  </si>
  <si>
    <t>Zircon 016-7</t>
    <phoneticPr fontId="1" type="noConversion"/>
  </si>
  <si>
    <t>Zircon 016-40</t>
    <phoneticPr fontId="1" type="noConversion"/>
  </si>
  <si>
    <t>Zircon 016-45</t>
    <phoneticPr fontId="1" type="noConversion"/>
  </si>
  <si>
    <t>Zircon 016-50</t>
    <phoneticPr fontId="1" type="noConversion"/>
  </si>
  <si>
    <t>Zircon 016-55</t>
    <phoneticPr fontId="1" type="noConversion"/>
  </si>
  <si>
    <t>V3 Peak center</t>
    <phoneticPr fontId="1" type="noConversion"/>
  </si>
  <si>
    <t>alpha dose (α/g)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</si>
</sst>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0</xdr:row>
      <xdr:rowOff>91440</xdr:rowOff>
    </xdr:from>
    <xdr:to>
      <xdr:col>13</xdr:col>
      <xdr:colOff>66500</xdr:colOff>
      <xdr:row>2</xdr:row>
      <xdr:rowOff>100926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91440"/>
          <a:ext cx="1400000" cy="314286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5</xdr:row>
      <xdr:rowOff>68580</xdr:rowOff>
    </xdr:from>
    <xdr:to>
      <xdr:col>18</xdr:col>
      <xdr:colOff>336669</xdr:colOff>
      <xdr:row>10</xdr:row>
      <xdr:rowOff>39913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660" y="830580"/>
          <a:ext cx="4123809" cy="733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121920</xdr:colOff>
      <xdr:row>3</xdr:row>
      <xdr:rowOff>0</xdr:rowOff>
    </xdr:from>
    <xdr:to>
      <xdr:col>14</xdr:col>
      <xdr:colOff>190248</xdr:colOff>
      <xdr:row>5</xdr:row>
      <xdr:rowOff>66629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45280" y="457200"/>
          <a:ext cx="2019048" cy="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tabSelected="1" workbookViewId="0">
      <selection activeCell="I25" sqref="I25"/>
    </sheetView>
  </sheetViews>
  <sheetFormatPr defaultRowHeight="12" x14ac:dyDescent="0.25"/>
  <cols>
    <col min="1" max="1" width="16.140625" bestFit="1" customWidth="1"/>
    <col min="3" max="3" width="15.85546875" bestFit="1" customWidth="1"/>
    <col min="4" max="4" width="15.5703125" bestFit="1" customWidth="1"/>
    <col min="10" max="10" width="13.5703125" bestFit="1" customWidth="1"/>
  </cols>
  <sheetData>
    <row r="1" spans="1:17" x14ac:dyDescent="0.25">
      <c r="B1" t="s">
        <v>11</v>
      </c>
      <c r="C1" t="s">
        <v>23</v>
      </c>
      <c r="D1" t="s">
        <v>22</v>
      </c>
      <c r="E1" t="s">
        <v>0</v>
      </c>
      <c r="F1" t="s">
        <v>13</v>
      </c>
      <c r="G1" t="s">
        <v>5</v>
      </c>
      <c r="H1" t="s">
        <v>6</v>
      </c>
      <c r="I1" t="s">
        <v>12</v>
      </c>
      <c r="J1" t="s">
        <v>5</v>
      </c>
    </row>
    <row r="2" spans="1:17" x14ac:dyDescent="0.25">
      <c r="A2" s="1" t="s">
        <v>14</v>
      </c>
      <c r="B2" s="1">
        <v>7.4823459999999997</v>
      </c>
      <c r="C2">
        <f>-(LN((34.96-B2)/33.16))/(5.32*10^(-19))</f>
        <v>3.5332939424118656E+17</v>
      </c>
      <c r="D2">
        <v>1007.49</v>
      </c>
      <c r="E2" s="1"/>
      <c r="F2">
        <f>0.6947*E2-0.557</f>
        <v>-0.55700000000000005</v>
      </c>
      <c r="G2">
        <f>-(LN((34.96-F2)/33.16))/(5.32*10^(-19))</f>
        <v>-1.2907354291450147E+17</v>
      </c>
      <c r="H2" s="1"/>
      <c r="J2">
        <f>-(LN((34.96-I2)/33.16))/(5.32*10^(-19))</f>
        <v>-9.9361316767369504E+16</v>
      </c>
    </row>
    <row r="3" spans="1:17" x14ac:dyDescent="0.25">
      <c r="A3" s="1" t="s">
        <v>15</v>
      </c>
      <c r="B3" s="1">
        <v>7.312233</v>
      </c>
      <c r="C3">
        <f t="shared" ref="C3:C9" si="0">-(LN((34.96-B3)/33.16))/(5.32*10^(-19))</f>
        <v>3.417281298000839E+17</v>
      </c>
      <c r="D3">
        <v>1007.53</v>
      </c>
      <c r="E3" s="1"/>
      <c r="F3">
        <f t="shared" ref="F3:F7" si="1">0.6947*E3-0.557</f>
        <v>-0.55700000000000005</v>
      </c>
      <c r="G3">
        <f t="shared" ref="G3:G7" si="2">-(LN((34.96-F3)/33.16))/(5.32*10^(-19))</f>
        <v>-1.2907354291450147E+17</v>
      </c>
      <c r="H3" s="1"/>
      <c r="J3">
        <f>-(LN((34.96-I3)/33.16))/(5.32*10^(-19))</f>
        <v>-9.9361316767369504E+16</v>
      </c>
    </row>
    <row r="4" spans="1:17" x14ac:dyDescent="0.25">
      <c r="A4" s="1" t="s">
        <v>16</v>
      </c>
      <c r="B4" s="1">
        <v>7.6040330000000003</v>
      </c>
      <c r="C4">
        <f t="shared" si="0"/>
        <v>3.6167228073061114E+17</v>
      </c>
      <c r="D4">
        <v>1007.482</v>
      </c>
      <c r="E4" s="1"/>
      <c r="F4">
        <f t="shared" si="1"/>
        <v>-0.55700000000000005</v>
      </c>
      <c r="G4">
        <f t="shared" si="2"/>
        <v>-1.2907354291450147E+17</v>
      </c>
      <c r="H4" s="1"/>
      <c r="J4">
        <f t="shared" ref="J4:J7" si="3">-(LN((34.96-I4)/33.16))/(5.32*10^(-19))</f>
        <v>-9.9361316767369504E+16</v>
      </c>
    </row>
    <row r="5" spans="1:17" x14ac:dyDescent="0.25">
      <c r="A5" s="1" t="s">
        <v>17</v>
      </c>
      <c r="B5" s="1">
        <v>7.6323660000000002</v>
      </c>
      <c r="C5">
        <f t="shared" si="0"/>
        <v>3.636201233228624E+17</v>
      </c>
      <c r="D5">
        <v>1007.46</v>
      </c>
      <c r="E5" s="1"/>
      <c r="F5">
        <f t="shared" si="1"/>
        <v>-0.55700000000000005</v>
      </c>
      <c r="G5">
        <f t="shared" si="2"/>
        <v>-1.2907354291450147E+17</v>
      </c>
      <c r="H5" s="1"/>
      <c r="J5">
        <f t="shared" si="3"/>
        <v>-9.9361316767369504E+16</v>
      </c>
    </row>
    <row r="6" spans="1:17" x14ac:dyDescent="0.25">
      <c r="A6" s="1" t="s">
        <v>18</v>
      </c>
      <c r="B6" s="1">
        <v>5.2764530000000001</v>
      </c>
      <c r="C6">
        <f t="shared" si="0"/>
        <v>2.0817934402666054E+17</v>
      </c>
      <c r="D6">
        <v>1005.0650000000001</v>
      </c>
      <c r="E6" s="1"/>
      <c r="F6">
        <f t="shared" si="1"/>
        <v>-0.55700000000000005</v>
      </c>
      <c r="G6">
        <f t="shared" si="2"/>
        <v>-1.2907354291450147E+17</v>
      </c>
      <c r="H6" s="1"/>
      <c r="J6">
        <f t="shared" si="3"/>
        <v>-9.9361316767369504E+16</v>
      </c>
    </row>
    <row r="7" spans="1:17" x14ac:dyDescent="0.25">
      <c r="A7" s="1" t="s">
        <v>19</v>
      </c>
      <c r="B7" s="1">
        <v>4.9000000000000004</v>
      </c>
      <c r="C7">
        <f t="shared" si="0"/>
        <v>1.8449049989147667E+17</v>
      </c>
      <c r="D7">
        <v>1005.39</v>
      </c>
      <c r="E7" s="1"/>
      <c r="F7">
        <f t="shared" si="1"/>
        <v>-0.55700000000000005</v>
      </c>
      <c r="G7">
        <f t="shared" si="2"/>
        <v>-1.2907354291450147E+17</v>
      </c>
      <c r="H7" s="1"/>
      <c r="J7">
        <f t="shared" si="3"/>
        <v>-9.9361316767369504E+16</v>
      </c>
    </row>
    <row r="8" spans="1:17" x14ac:dyDescent="0.25">
      <c r="A8" s="1" t="s">
        <v>20</v>
      </c>
      <c r="B8" s="1">
        <v>5.5</v>
      </c>
      <c r="C8">
        <f t="shared" si="0"/>
        <v>2.2238894592595846E+17</v>
      </c>
      <c r="D8">
        <v>1005.188</v>
      </c>
    </row>
    <row r="9" spans="1:17" x14ac:dyDescent="0.25">
      <c r="A9" s="1" t="s">
        <v>21</v>
      </c>
      <c r="B9">
        <v>5.5860000000000003</v>
      </c>
      <c r="C9">
        <f t="shared" si="0"/>
        <v>2.278842122846303E+17</v>
      </c>
      <c r="D9">
        <v>1005.2190000000001</v>
      </c>
    </row>
    <row r="10" spans="1:17" x14ac:dyDescent="0.25">
      <c r="A10" s="1"/>
      <c r="B10" s="1"/>
      <c r="E10" s="1"/>
      <c r="H10" s="1"/>
    </row>
    <row r="11" spans="1:17" x14ac:dyDescent="0.25">
      <c r="A11" s="1"/>
      <c r="B11" s="1"/>
      <c r="E11" s="1"/>
      <c r="H11" s="1"/>
    </row>
    <row r="12" spans="1:17" x14ac:dyDescent="0.25">
      <c r="A12" s="1"/>
      <c r="B12" s="1"/>
      <c r="E12" s="1"/>
      <c r="H12" s="1"/>
    </row>
    <row r="13" spans="1:17" x14ac:dyDescent="0.25">
      <c r="A13" s="1"/>
      <c r="B13" s="1"/>
      <c r="E13" s="1"/>
      <c r="H13" s="1"/>
      <c r="N13" t="s">
        <v>7</v>
      </c>
      <c r="P13" t="s">
        <v>10</v>
      </c>
    </row>
    <row r="14" spans="1:17" x14ac:dyDescent="0.25">
      <c r="A14" s="1"/>
      <c r="B14" s="1"/>
      <c r="E14" s="1"/>
      <c r="H14" s="1"/>
      <c r="K14" t="s">
        <v>1</v>
      </c>
      <c r="L14">
        <v>34.96</v>
      </c>
      <c r="N14" t="s">
        <v>8</v>
      </c>
      <c r="O14">
        <v>0.69469999999999998</v>
      </c>
      <c r="P14" t="s">
        <v>8</v>
      </c>
      <c r="Q14">
        <v>0.83340000000000003</v>
      </c>
    </row>
    <row r="15" spans="1:17" x14ac:dyDescent="0.25">
      <c r="A15" s="1"/>
      <c r="B15" s="1"/>
      <c r="E15" s="1"/>
      <c r="H15" s="1"/>
      <c r="K15" t="s">
        <v>2</v>
      </c>
      <c r="L15">
        <v>33.159999999999997</v>
      </c>
      <c r="N15" t="s">
        <v>9</v>
      </c>
      <c r="O15">
        <v>0.55700000000000005</v>
      </c>
      <c r="P15" t="s">
        <v>9</v>
      </c>
      <c r="Q15">
        <v>-2.355</v>
      </c>
    </row>
    <row r="16" spans="1:17" x14ac:dyDescent="0.25">
      <c r="K16" t="s">
        <v>3</v>
      </c>
      <c r="L16" t="s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 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cug</dc:creator>
  <cp:lastModifiedBy>GEO CUG</cp:lastModifiedBy>
  <dcterms:created xsi:type="dcterms:W3CDTF">2024-09-15T23:19:14Z</dcterms:created>
  <dcterms:modified xsi:type="dcterms:W3CDTF">2026-09-07T15:47:32Z</dcterms:modified>
</cp:coreProperties>
</file>