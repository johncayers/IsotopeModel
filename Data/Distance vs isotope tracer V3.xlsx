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55fd3f8ffa58db1a/Documents - Zircon Recrystallization/Manuscripts/MZ_Replacement/Data/"/>
    </mc:Choice>
  </mc:AlternateContent>
  <xr:revisionPtr revIDLastSave="183" documentId="13_ncr:1_{F708A698-3685-4F02-ADAF-B454282A04BF}" xr6:coauthVersionLast="47" xr6:coauthVersionMax="47" xr10:uidLastSave="{18F45182-860C-4295-9647-9E3DAABA5722}"/>
  <bookViews>
    <workbookView xWindow="-120" yWindow="-120" windowWidth="29040" windowHeight="15720" activeTab="1" xr2:uid="{72B87CE5-8118-4983-BC83-4F99D56C845E}"/>
  </bookViews>
  <sheets>
    <sheet name="Measurements" sheetId="1" r:id="rId1"/>
    <sheet name="Plo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 r="G27" i="1"/>
  <c r="G26" i="1"/>
  <c r="G25" i="1"/>
  <c r="G24" i="1"/>
  <c r="G23" i="1"/>
  <c r="G22" i="1"/>
  <c r="G21" i="1"/>
  <c r="G20" i="1"/>
  <c r="G19" i="1"/>
  <c r="G18" i="1"/>
  <c r="G3" i="1"/>
  <c r="G4" i="1"/>
  <c r="G5" i="1"/>
  <c r="G6" i="1"/>
  <c r="G7" i="1"/>
  <c r="G8" i="1"/>
  <c r="G9" i="1"/>
  <c r="G10" i="1"/>
  <c r="G11" i="1"/>
  <c r="G12" i="1"/>
  <c r="G13" i="1"/>
  <c r="G14" i="1"/>
  <c r="G2" i="1"/>
</calcChain>
</file>

<file path=xl/sharedStrings.xml><?xml version="1.0" encoding="utf-8"?>
<sst xmlns="http://schemas.openxmlformats.org/spreadsheetml/2006/main" count="42" uniqueCount="37">
  <si>
    <t>Si_15@1.asc</t>
  </si>
  <si>
    <t>Si_15@2.asc</t>
  </si>
  <si>
    <t>Si_15@3.asc</t>
  </si>
  <si>
    <t>Si_15@4.asc</t>
  </si>
  <si>
    <t>Si_15@5.asc</t>
  </si>
  <si>
    <t>Si_15@6.asc</t>
  </si>
  <si>
    <t>Si_15@7.asc</t>
  </si>
  <si>
    <t>Si_15@8.asc</t>
  </si>
  <si>
    <t>Si_15@9.asc</t>
  </si>
  <si>
    <t>Si_15@10.asc</t>
  </si>
  <si>
    <t>Si_15@11.asc</t>
  </si>
  <si>
    <t>Si_15@12.asc</t>
  </si>
  <si>
    <t>Si_15@13.asc</t>
  </si>
  <si>
    <t>SE(Prop)</t>
  </si>
  <si>
    <t>15@1.asc</t>
  </si>
  <si>
    <t>15@2.asc</t>
  </si>
  <si>
    <t>15@3.asc</t>
  </si>
  <si>
    <t>15@4.asc</t>
  </si>
  <si>
    <t>15@5.asc</t>
  </si>
  <si>
    <t>15@6.asc</t>
  </si>
  <si>
    <t>15@7.asc</t>
  </si>
  <si>
    <t>15@8.asc</t>
  </si>
  <si>
    <t>15@9.asc</t>
  </si>
  <si>
    <t>15@10.asc</t>
  </si>
  <si>
    <t>15@11.asc</t>
  </si>
  <si>
    <t>Distance from edge CDR unit</t>
    <phoneticPr fontId="2" type="noConversion"/>
  </si>
  <si>
    <t>Distance from reaction front CDR unit</t>
    <phoneticPr fontId="2" type="noConversion"/>
  </si>
  <si>
    <t>lenth of 5μm CDR unit</t>
    <phoneticPr fontId="2" type="noConversion"/>
  </si>
  <si>
    <t>d29Si</t>
    <phoneticPr fontId="2" type="noConversion"/>
  </si>
  <si>
    <t>d18O</t>
    <phoneticPr fontId="2" type="noConversion"/>
  </si>
  <si>
    <t>Example for distance from reaction front</t>
    <phoneticPr fontId="2" type="noConversion"/>
  </si>
  <si>
    <t>Example for distance from edge</t>
    <phoneticPr fontId="2" type="noConversion"/>
  </si>
  <si>
    <t>distance from cube corner</t>
  </si>
  <si>
    <t>distance from cube corner</t>
    <phoneticPr fontId="2" type="noConversion"/>
  </si>
  <si>
    <t>distance from cube corner in μm</t>
  </si>
  <si>
    <t>d29Si</t>
  </si>
  <si>
    <t>d18O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</si>
</sst>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9"/>
      <color theme="1"/>
      <name val="Times New Roman"/>
      <family val="2"/>
      <charset val="134"/>
    </font>
    <font>
      <sz val="12"/>
      <color theme="4"/>
      <name val="Times New Roman"/>
      <family val="1"/>
    </font>
    <font>
      <sz val="9"/>
      <name val="Times New Roman"/>
      <family val="2"/>
      <charset val="134"/>
    </font>
    <font>
      <sz val="12"/>
      <name val="Times New Roman"/>
      <family val="1"/>
    </font>
    <font>
      <sz val="12"/>
      <color theme="1"/>
      <name val="Times New Roman"/>
      <family val="1"/>
    </font>
    <font>
      <sz val="12"/>
      <color theme="1"/>
      <name val="Times New Roman"/>
      <family val="2"/>
      <charset val="134"/>
    </font>
    <font>
      <sz val="9"/>
      <color rgb="FFFF0000"/>
      <name val="Times New Roman"/>
      <family val="2"/>
      <charset val="134"/>
    </font>
    <font>
      <sz val="9"/>
      <color rgb="FFFF0000"/>
      <name val="Times New Roman"/>
      <family val="1"/>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35">
    <xf numFmtId="0" fontId="0" fillId="0" borderId="0" xfId="0">
      <alignment vertical="center"/>
    </xf>
    <xf numFmtId="2" fontId="1" fillId="0" borderId="1" xfId="0" applyNumberFormat="1" applyFont="1" applyBorder="1" applyAlignment="1">
      <alignment horizontal="center" vertical="center"/>
    </xf>
    <xf numFmtId="2" fontId="1" fillId="0" borderId="2" xfId="0" applyNumberFormat="1" applyFont="1" applyBorder="1" applyAlignment="1">
      <alignment horizontal="center" vertical="center"/>
    </xf>
    <xf numFmtId="2" fontId="1" fillId="0" borderId="3"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5" xfId="0" applyNumberFormat="1" applyFont="1" applyBorder="1" applyAlignment="1">
      <alignment horizontal="center" vertical="center"/>
    </xf>
    <xf numFmtId="2" fontId="1" fillId="0" borderId="4" xfId="0" applyNumberFormat="1" applyFont="1" applyBorder="1" applyAlignment="1">
      <alignment horizontal="center" vertical="center"/>
    </xf>
    <xf numFmtId="2" fontId="1" fillId="0" borderId="5" xfId="0" applyNumberFormat="1" applyFont="1" applyBorder="1" applyAlignment="1">
      <alignment horizontal="center" vertical="center"/>
    </xf>
    <xf numFmtId="2" fontId="1" fillId="0" borderId="6" xfId="0" applyNumberFormat="1" applyFont="1" applyBorder="1" applyAlignment="1">
      <alignment horizontal="center" vertical="center"/>
    </xf>
    <xf numFmtId="2" fontId="1" fillId="0" borderId="7" xfId="0" applyNumberFormat="1" applyFont="1" applyBorder="1" applyAlignment="1">
      <alignment horizontal="center" vertical="center"/>
    </xf>
    <xf numFmtId="2" fontId="1" fillId="0" borderId="8" xfId="0" applyNumberFormat="1" applyFont="1" applyBorder="1" applyAlignment="1">
      <alignment horizontal="center" vertical="center"/>
    </xf>
    <xf numFmtId="2" fontId="3" fillId="0" borderId="6" xfId="0" applyNumberFormat="1" applyFont="1" applyBorder="1" applyAlignment="1">
      <alignment horizontal="center" vertical="center"/>
    </xf>
    <xf numFmtId="164" fontId="1" fillId="0" borderId="2" xfId="0" applyNumberFormat="1" applyFont="1" applyBorder="1" applyAlignment="1">
      <alignment horizontal="center" vertical="center"/>
    </xf>
    <xf numFmtId="0" fontId="0" fillId="0" borderId="3" xfId="0" applyBorder="1">
      <alignment vertical="center"/>
    </xf>
    <xf numFmtId="2" fontId="3" fillId="0" borderId="0" xfId="0" applyNumberFormat="1"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164" fontId="1" fillId="0" borderId="3" xfId="0" applyNumberFormat="1" applyFont="1" applyBorder="1" applyAlignment="1">
      <alignment horizontal="center" vertical="center"/>
    </xf>
    <xf numFmtId="164" fontId="1"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164" fontId="4" fillId="0" borderId="8" xfId="0" applyNumberFormat="1" applyFont="1" applyBorder="1" applyAlignment="1">
      <alignment horizontal="center" vertical="center"/>
    </xf>
    <xf numFmtId="2" fontId="3" fillId="0" borderId="7" xfId="0" applyNumberFormat="1" applyFont="1" applyBorder="1" applyAlignment="1">
      <alignment horizontal="center" vertical="center"/>
    </xf>
    <xf numFmtId="0" fontId="0" fillId="0" borderId="2" xfId="0" applyBorder="1" applyAlignment="1">
      <alignment horizontal="center" vertical="center"/>
    </xf>
    <xf numFmtId="0" fontId="5" fillId="0" borderId="2" xfId="0" applyFont="1" applyBorder="1" applyAlignment="1">
      <alignment horizontal="center" vertical="center"/>
    </xf>
    <xf numFmtId="2" fontId="0" fillId="0" borderId="0" xfId="0" applyNumberFormat="1">
      <alignment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6" fillId="0" borderId="0" xfId="0" applyFont="1" applyAlignment="1">
      <alignment horizontal="center" vertical="center"/>
    </xf>
    <xf numFmtId="2" fontId="6" fillId="0" borderId="0" xfId="0" applyNumberFormat="1" applyFont="1" applyAlignment="1">
      <alignment horizontal="center" vertical="center"/>
    </xf>
    <xf numFmtId="0" fontId="7" fillId="0" borderId="0" xfId="0" applyFont="1" applyAlignment="1">
      <alignment horizontal="center" vertical="center"/>
    </xf>
    <xf numFmtId="164" fontId="4" fillId="0" borderId="0" xfId="0" applyNumberFormat="1" applyFont="1" applyAlignment="1">
      <alignment horizontal="center" vertical="center"/>
    </xf>
    <xf numFmtId="164" fontId="4" fillId="0" borderId="7"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Plots!$G$1</c:f>
              <c:strCache>
                <c:ptCount val="1"/>
                <c:pt idx="0">
                  <c:v>d18O</c:v>
                </c:pt>
              </c:strCache>
            </c:strRef>
          </c:tx>
          <c:spPr>
            <a:ln w="1905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Plots!$H$2:$H$12</c:f>
                <c:numCache>
                  <c:formatCode>General</c:formatCode>
                  <c:ptCount val="11"/>
                  <c:pt idx="0">
                    <c:v>3.7025908457585541</c:v>
                  </c:pt>
                  <c:pt idx="1">
                    <c:v>3.8371214837071084</c:v>
                  </c:pt>
                  <c:pt idx="2">
                    <c:v>3.5903977747660401</c:v>
                  </c:pt>
                  <c:pt idx="3">
                    <c:v>0.12145484897914476</c:v>
                  </c:pt>
                  <c:pt idx="4">
                    <c:v>1.8716742542420516E-2</c:v>
                  </c:pt>
                  <c:pt idx="5">
                    <c:v>9.1698688885603605E-2</c:v>
                  </c:pt>
                  <c:pt idx="6">
                    <c:v>0.45657699604669172</c:v>
                  </c:pt>
                  <c:pt idx="7">
                    <c:v>0.26830220622057588</c:v>
                  </c:pt>
                  <c:pt idx="8">
                    <c:v>6.583859067259018E-2</c:v>
                  </c:pt>
                  <c:pt idx="9">
                    <c:v>2.3623411285781244</c:v>
                  </c:pt>
                  <c:pt idx="10">
                    <c:v>0.26703271874781842</c:v>
                  </c:pt>
                </c:numCache>
              </c:numRef>
            </c:plus>
            <c:minus>
              <c:numRef>
                <c:f>Plots!$H$2:$H$12</c:f>
                <c:numCache>
                  <c:formatCode>General</c:formatCode>
                  <c:ptCount val="11"/>
                  <c:pt idx="0">
                    <c:v>3.7025908457585541</c:v>
                  </c:pt>
                  <c:pt idx="1">
                    <c:v>3.8371214837071084</c:v>
                  </c:pt>
                  <c:pt idx="2">
                    <c:v>3.5903977747660401</c:v>
                  </c:pt>
                  <c:pt idx="3">
                    <c:v>0.12145484897914476</c:v>
                  </c:pt>
                  <c:pt idx="4">
                    <c:v>1.8716742542420516E-2</c:v>
                  </c:pt>
                  <c:pt idx="5">
                    <c:v>9.1698688885603605E-2</c:v>
                  </c:pt>
                  <c:pt idx="6">
                    <c:v>0.45657699604669172</c:v>
                  </c:pt>
                  <c:pt idx="7">
                    <c:v>0.26830220622057588</c:v>
                  </c:pt>
                  <c:pt idx="8">
                    <c:v>6.583859067259018E-2</c:v>
                  </c:pt>
                  <c:pt idx="9">
                    <c:v>2.3623411285781244</c:v>
                  </c:pt>
                  <c:pt idx="10">
                    <c:v>0.26703271874781842</c:v>
                  </c:pt>
                </c:numCache>
              </c:numRef>
            </c:minus>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numRef>
              <c:f>Plots!$F$2:$F$12</c:f>
              <c:numCache>
                <c:formatCode>General</c:formatCode>
                <c:ptCount val="11"/>
                <c:pt idx="0">
                  <c:v>110.9567901234568</c:v>
                </c:pt>
                <c:pt idx="1">
                  <c:v>173.76543209876542</c:v>
                </c:pt>
                <c:pt idx="2">
                  <c:v>225.15432098765433</c:v>
                </c:pt>
                <c:pt idx="3">
                  <c:v>284.2592592592593</c:v>
                </c:pt>
                <c:pt idx="4">
                  <c:v>285.64814814814815</c:v>
                </c:pt>
                <c:pt idx="5">
                  <c:v>321.91358024691357</c:v>
                </c:pt>
                <c:pt idx="6">
                  <c:v>616.97530864197518</c:v>
                </c:pt>
                <c:pt idx="7">
                  <c:v>666.82098765432102</c:v>
                </c:pt>
                <c:pt idx="8">
                  <c:v>710.18518518518522</c:v>
                </c:pt>
                <c:pt idx="9">
                  <c:v>755.24691358024688</c:v>
                </c:pt>
                <c:pt idx="10">
                  <c:v>793.36419753086398</c:v>
                </c:pt>
              </c:numCache>
            </c:numRef>
          </c:xVal>
          <c:yVal>
            <c:numRef>
              <c:f>Plots!$G$2:$G$12</c:f>
              <c:numCache>
                <c:formatCode>General</c:formatCode>
                <c:ptCount val="11"/>
                <c:pt idx="0">
                  <c:v>-46.935335450475677</c:v>
                </c:pt>
                <c:pt idx="1">
                  <c:v>-48.659374543719267</c:v>
                </c:pt>
                <c:pt idx="2">
                  <c:v>-45.522731068155522</c:v>
                </c:pt>
                <c:pt idx="3">
                  <c:v>-1.5126610718184663</c:v>
                </c:pt>
                <c:pt idx="4">
                  <c:v>-0.23481940973912874</c:v>
                </c:pt>
                <c:pt idx="5">
                  <c:v>-1.1459569803002889</c:v>
                </c:pt>
                <c:pt idx="6">
                  <c:v>-5.7310175444530431</c:v>
                </c:pt>
                <c:pt idx="7">
                  <c:v>-3.3459915214025804</c:v>
                </c:pt>
                <c:pt idx="8">
                  <c:v>-0.80402307241755899</c:v>
                </c:pt>
                <c:pt idx="9">
                  <c:v>-29.865163840039788</c:v>
                </c:pt>
                <c:pt idx="10">
                  <c:v>-3.3309236365186567</c:v>
                </c:pt>
              </c:numCache>
            </c:numRef>
          </c:yVal>
          <c:smooth val="0"/>
          <c:extLst>
            <c:ext xmlns:c16="http://schemas.microsoft.com/office/drawing/2014/chart" uri="{C3380CC4-5D6E-409C-BE32-E72D297353CC}">
              <c16:uniqueId val="{00000000-A33A-45E9-8B70-294C2A6D8742}"/>
            </c:ext>
          </c:extLst>
        </c:ser>
        <c:dLbls>
          <c:showLegendKey val="0"/>
          <c:showVal val="0"/>
          <c:showCatName val="0"/>
          <c:showSerName val="0"/>
          <c:showPercent val="0"/>
          <c:showBubbleSize val="0"/>
        </c:dLbls>
        <c:axId val="1519380911"/>
        <c:axId val="79408367"/>
      </c:scatterChart>
      <c:valAx>
        <c:axId val="1519380911"/>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2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Distance from cube corner (</a:t>
                </a:r>
                <a:r>
                  <a:rPr lang="el-GR" sz="12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μ</a:t>
                </a:r>
                <a:r>
                  <a:rPr lang="en-US" sz="12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m)</a:t>
                </a:r>
                <a:endParaRPr lang="el-GR" sz="12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l-G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9408367"/>
        <c:crossesAt val="-60"/>
        <c:crossBetween val="midCat"/>
      </c:valAx>
      <c:valAx>
        <c:axId val="79408367"/>
        <c:scaling>
          <c:orientation val="minMax"/>
          <c:max val="20"/>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l-GR" sz="1200"/>
                  <a:t>δ</a:t>
                </a:r>
                <a:r>
                  <a:rPr lang="en-US" sz="1200" baseline="30000"/>
                  <a:t>18</a:t>
                </a:r>
                <a:r>
                  <a:rPr lang="en-US" sz="1200"/>
                  <a:t>O</a:t>
                </a:r>
                <a:endParaRPr lang="el-GR" sz="1200"/>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l-G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19380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Plots!$B$1</c:f>
              <c:strCache>
                <c:ptCount val="1"/>
                <c:pt idx="0">
                  <c:v>d29Si</c:v>
                </c:pt>
              </c:strCache>
            </c:strRef>
          </c:tx>
          <c:spPr>
            <a:ln w="1905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Plots!$C$2:$C$14</c:f>
                <c:numCache>
                  <c:formatCode>General</c:formatCode>
                  <c:ptCount val="13"/>
                  <c:pt idx="0">
                    <c:v>4547.1932664181277</c:v>
                  </c:pt>
                  <c:pt idx="1">
                    <c:v>5171.1216660248792</c:v>
                  </c:pt>
                  <c:pt idx="2">
                    <c:v>3855.3890606469909</c:v>
                  </c:pt>
                  <c:pt idx="3">
                    <c:v>41.189763712169125</c:v>
                  </c:pt>
                  <c:pt idx="4">
                    <c:v>2.587536343938154</c:v>
                  </c:pt>
                  <c:pt idx="5">
                    <c:v>0.35493963604850343</c:v>
                  </c:pt>
                  <c:pt idx="6">
                    <c:v>3.9870462271725318E-2</c:v>
                  </c:pt>
                  <c:pt idx="7">
                    <c:v>0.24499472027660035</c:v>
                  </c:pt>
                  <c:pt idx="8">
                    <c:v>6.6302633332002703E-2</c:v>
                  </c:pt>
                  <c:pt idx="9">
                    <c:v>5.2460055662694863E-2</c:v>
                  </c:pt>
                  <c:pt idx="10">
                    <c:v>0.5971036007911158</c:v>
                  </c:pt>
                  <c:pt idx="11">
                    <c:v>98.740180068156775</c:v>
                  </c:pt>
                  <c:pt idx="12">
                    <c:v>63.322554761927236</c:v>
                  </c:pt>
                </c:numCache>
              </c:numRef>
            </c:plus>
            <c:minus>
              <c:numRef>
                <c:f>Plots!$C$2:$C$14</c:f>
                <c:numCache>
                  <c:formatCode>General</c:formatCode>
                  <c:ptCount val="13"/>
                  <c:pt idx="0">
                    <c:v>4547.1932664181277</c:v>
                  </c:pt>
                  <c:pt idx="1">
                    <c:v>5171.1216660248792</c:v>
                  </c:pt>
                  <c:pt idx="2">
                    <c:v>3855.3890606469909</c:v>
                  </c:pt>
                  <c:pt idx="3">
                    <c:v>41.189763712169125</c:v>
                  </c:pt>
                  <c:pt idx="4">
                    <c:v>2.587536343938154</c:v>
                  </c:pt>
                  <c:pt idx="5">
                    <c:v>0.35493963604850343</c:v>
                  </c:pt>
                  <c:pt idx="6">
                    <c:v>3.9870462271725318E-2</c:v>
                  </c:pt>
                  <c:pt idx="7">
                    <c:v>0.24499472027660035</c:v>
                  </c:pt>
                  <c:pt idx="8">
                    <c:v>6.6302633332002703E-2</c:v>
                  </c:pt>
                  <c:pt idx="9">
                    <c:v>5.2460055662694863E-2</c:v>
                  </c:pt>
                  <c:pt idx="10">
                    <c:v>0.5971036007911158</c:v>
                  </c:pt>
                  <c:pt idx="11">
                    <c:v>98.740180068156775</c:v>
                  </c:pt>
                  <c:pt idx="12">
                    <c:v>63.322554761927236</c:v>
                  </c:pt>
                </c:numCache>
              </c:numRef>
            </c:minus>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numRef>
              <c:f>Plots!$A$2:$A$12</c:f>
              <c:numCache>
                <c:formatCode>General</c:formatCode>
                <c:ptCount val="11"/>
                <c:pt idx="0">
                  <c:v>116.35802469135803</c:v>
                </c:pt>
                <c:pt idx="1">
                  <c:v>153.39506172839504</c:v>
                </c:pt>
                <c:pt idx="2">
                  <c:v>222.68518518518519</c:v>
                </c:pt>
                <c:pt idx="3">
                  <c:v>224.38271604938268</c:v>
                </c:pt>
                <c:pt idx="4">
                  <c:v>260.49382716049377</c:v>
                </c:pt>
                <c:pt idx="5">
                  <c:v>284.2592592592593</c:v>
                </c:pt>
                <c:pt idx="6">
                  <c:v>288.42592592592592</c:v>
                </c:pt>
                <c:pt idx="7">
                  <c:v>357.09876543209879</c:v>
                </c:pt>
                <c:pt idx="8">
                  <c:v>533.64197530864192</c:v>
                </c:pt>
                <c:pt idx="9">
                  <c:v>572.99382716049388</c:v>
                </c:pt>
                <c:pt idx="10">
                  <c:v>595.06172839506178</c:v>
                </c:pt>
              </c:numCache>
            </c:numRef>
          </c:xVal>
          <c:yVal>
            <c:numRef>
              <c:f>Plots!$B$2:$B$12</c:f>
              <c:numCache>
                <c:formatCode>General</c:formatCode>
                <c:ptCount val="11"/>
                <c:pt idx="0">
                  <c:v>17631.938039757577</c:v>
                </c:pt>
                <c:pt idx="1">
                  <c:v>20051.25235313379</c:v>
                </c:pt>
                <c:pt idx="2">
                  <c:v>14949.084376704164</c:v>
                </c:pt>
                <c:pt idx="3">
                  <c:v>159.7043852195761</c:v>
                </c:pt>
                <c:pt idx="4">
                  <c:v>9.7465632704674121</c:v>
                </c:pt>
                <c:pt idx="5">
                  <c:v>1.3698790409777395</c:v>
                </c:pt>
                <c:pt idx="6">
                  <c:v>0.15414133503388605</c:v>
                </c:pt>
                <c:pt idx="7">
                  <c:v>0.9472813929625179</c:v>
                </c:pt>
                <c:pt idx="8">
                  <c:v>-0.25623151858167326</c:v>
                </c:pt>
                <c:pt idx="9">
                  <c:v>0.2028976167485208</c:v>
                </c:pt>
                <c:pt idx="10">
                  <c:v>2.3035673760489761</c:v>
                </c:pt>
              </c:numCache>
            </c:numRef>
          </c:yVal>
          <c:smooth val="0"/>
          <c:extLst>
            <c:ext xmlns:c16="http://schemas.microsoft.com/office/drawing/2014/chart" uri="{C3380CC4-5D6E-409C-BE32-E72D297353CC}">
              <c16:uniqueId val="{00000000-EF34-4965-A205-856DBDF1FBED}"/>
            </c:ext>
          </c:extLst>
        </c:ser>
        <c:dLbls>
          <c:showLegendKey val="0"/>
          <c:showVal val="0"/>
          <c:showCatName val="0"/>
          <c:showSerName val="0"/>
          <c:showPercent val="0"/>
          <c:showBubbleSize val="0"/>
        </c:dLbls>
        <c:axId val="142409423"/>
        <c:axId val="79422767"/>
      </c:scatterChart>
      <c:valAx>
        <c:axId val="142409423"/>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200">
                    <a:latin typeface="Arial" panose="020B0604020202020204" pitchFamily="34" charset="0"/>
                    <a:cs typeface="Arial" panose="020B0604020202020204" pitchFamily="34" charset="0"/>
                  </a:rPr>
                  <a:t>Distance</a:t>
                </a:r>
                <a:r>
                  <a:rPr lang="en-US" sz="1200" baseline="0">
                    <a:latin typeface="Arial" panose="020B0604020202020204" pitchFamily="34" charset="0"/>
                    <a:cs typeface="Arial" panose="020B0604020202020204" pitchFamily="34" charset="0"/>
                  </a:rPr>
                  <a:t> from cube corner (</a:t>
                </a:r>
                <a:r>
                  <a:rPr lang="el-GR" sz="1200">
                    <a:latin typeface="Arial" panose="020B0604020202020204" pitchFamily="34" charset="0"/>
                    <a:cs typeface="Arial" panose="020B0604020202020204" pitchFamily="34" charset="0"/>
                  </a:rPr>
                  <a:t>μ</a:t>
                </a:r>
                <a:r>
                  <a:rPr lang="en-US" sz="1200">
                    <a:latin typeface="Arial" panose="020B0604020202020204" pitchFamily="34" charset="0"/>
                    <a:cs typeface="Arial" panose="020B0604020202020204" pitchFamily="34" charset="0"/>
                  </a:rPr>
                  <a:t>m)</a:t>
                </a:r>
                <a:endParaRPr lang="el-GR"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9422767"/>
        <c:crossesAt val="1.0000000000000002E-2"/>
        <c:crossBetween val="midCat"/>
      </c:valAx>
      <c:valAx>
        <c:axId val="79422767"/>
        <c:scaling>
          <c:logBase val="10"/>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l-GR" sz="1200">
                    <a:latin typeface="Arial" panose="020B0604020202020204" pitchFamily="34" charset="0"/>
                    <a:cs typeface="Arial" panose="020B0604020202020204" pitchFamily="34" charset="0"/>
                  </a:rPr>
                  <a:t>δ</a:t>
                </a:r>
                <a:r>
                  <a:rPr lang="en-US" sz="1200" baseline="30000">
                    <a:latin typeface="Arial" panose="020B0604020202020204" pitchFamily="34" charset="0"/>
                    <a:cs typeface="Arial" panose="020B0604020202020204" pitchFamily="34" charset="0"/>
                  </a:rPr>
                  <a:t>29</a:t>
                </a:r>
                <a:r>
                  <a:rPr lang="en-US" sz="1200">
                    <a:latin typeface="Arial" panose="020B0604020202020204" pitchFamily="34" charset="0"/>
                    <a:cs typeface="Arial" panose="020B0604020202020204" pitchFamily="34" charset="0"/>
                  </a:rPr>
                  <a:t>Si</a:t>
                </a:r>
                <a:endParaRPr lang="el-GR" sz="12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l-GR"/>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24094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92365</xdr:colOff>
      <xdr:row>38</xdr:row>
      <xdr:rowOff>14086</xdr:rowOff>
    </xdr:from>
    <xdr:to>
      <xdr:col>6</xdr:col>
      <xdr:colOff>35559</xdr:colOff>
      <xdr:row>60</xdr:row>
      <xdr:rowOff>41474</xdr:rowOff>
    </xdr:to>
    <xdr:pic>
      <xdr:nvPicPr>
        <xdr:cNvPr id="4" name="图片 3">
          <a:extLst>
            <a:ext uri="{FF2B5EF4-FFF2-40B4-BE49-F238E27FC236}">
              <a16:creationId xmlns:a16="http://schemas.microsoft.com/office/drawing/2014/main" id="{4B246BB2-5F74-98C5-4698-B35F8BCDB88F}"/>
            </a:ext>
          </a:extLst>
        </xdr:cNvPr>
        <xdr:cNvPicPr>
          <a:picLocks noChangeAspect="1"/>
        </xdr:cNvPicPr>
      </xdr:nvPicPr>
      <xdr:blipFill>
        <a:blip xmlns:r="http://schemas.openxmlformats.org/officeDocument/2006/relationships" r:embed="rId1"/>
        <a:stretch>
          <a:fillRect/>
        </a:stretch>
      </xdr:blipFill>
      <xdr:spPr>
        <a:xfrm>
          <a:off x="4883729" y="6872086"/>
          <a:ext cx="4342128" cy="3339548"/>
        </a:xfrm>
        <a:prstGeom prst="rect">
          <a:avLst/>
        </a:prstGeom>
      </xdr:spPr>
    </xdr:pic>
    <xdr:clientData/>
  </xdr:twoCellAnchor>
  <xdr:twoCellAnchor editAs="oneCell">
    <xdr:from>
      <xdr:col>0</xdr:col>
      <xdr:colOff>60267</xdr:colOff>
      <xdr:row>37</xdr:row>
      <xdr:rowOff>92362</xdr:rowOff>
    </xdr:from>
    <xdr:to>
      <xdr:col>3</xdr:col>
      <xdr:colOff>1375273</xdr:colOff>
      <xdr:row>59</xdr:row>
      <xdr:rowOff>148705</xdr:rowOff>
    </xdr:to>
    <xdr:pic>
      <xdr:nvPicPr>
        <xdr:cNvPr id="5" name="图片 4">
          <a:extLst>
            <a:ext uri="{FF2B5EF4-FFF2-40B4-BE49-F238E27FC236}">
              <a16:creationId xmlns:a16="http://schemas.microsoft.com/office/drawing/2014/main" id="{8888D78B-EFA7-036D-DD21-94BBF43A5B61}"/>
            </a:ext>
          </a:extLst>
        </xdr:cNvPr>
        <xdr:cNvPicPr>
          <a:picLocks noChangeAspect="1"/>
        </xdr:cNvPicPr>
      </xdr:nvPicPr>
      <xdr:blipFill>
        <a:blip xmlns:r="http://schemas.openxmlformats.org/officeDocument/2006/relationships" r:embed="rId2"/>
        <a:stretch>
          <a:fillRect/>
        </a:stretch>
      </xdr:blipFill>
      <xdr:spPr>
        <a:xfrm>
          <a:off x="60267" y="6800271"/>
          <a:ext cx="4642637" cy="3348183"/>
        </a:xfrm>
        <a:prstGeom prst="rect">
          <a:avLst/>
        </a:prstGeom>
      </xdr:spPr>
    </xdr:pic>
    <xdr:clientData/>
  </xdr:twoCellAnchor>
  <xdr:twoCellAnchor editAs="oneCell">
    <xdr:from>
      <xdr:col>6</xdr:col>
      <xdr:colOff>415636</xdr:colOff>
      <xdr:row>38</xdr:row>
      <xdr:rowOff>75536</xdr:rowOff>
    </xdr:from>
    <xdr:to>
      <xdr:col>10</xdr:col>
      <xdr:colOff>177882</xdr:colOff>
      <xdr:row>61</xdr:row>
      <xdr:rowOff>4086</xdr:rowOff>
    </xdr:to>
    <xdr:pic>
      <xdr:nvPicPr>
        <xdr:cNvPr id="6" name="图片 5">
          <a:extLst>
            <a:ext uri="{FF2B5EF4-FFF2-40B4-BE49-F238E27FC236}">
              <a16:creationId xmlns:a16="http://schemas.microsoft.com/office/drawing/2014/main" id="{ED3A53C5-8F50-C917-9850-3B18FA039863}"/>
            </a:ext>
          </a:extLst>
        </xdr:cNvPr>
        <xdr:cNvPicPr>
          <a:picLocks noChangeAspect="1"/>
        </xdr:cNvPicPr>
      </xdr:nvPicPr>
      <xdr:blipFill>
        <a:blip xmlns:r="http://schemas.openxmlformats.org/officeDocument/2006/relationships" r:embed="rId3"/>
        <a:stretch>
          <a:fillRect/>
        </a:stretch>
      </xdr:blipFill>
      <xdr:spPr>
        <a:xfrm>
          <a:off x="9813636" y="6933536"/>
          <a:ext cx="4415064" cy="3380641"/>
        </a:xfrm>
        <a:prstGeom prst="rect">
          <a:avLst/>
        </a:prstGeom>
      </xdr:spPr>
    </xdr:pic>
    <xdr:clientData/>
  </xdr:twoCellAnchor>
  <xdr:twoCellAnchor>
    <xdr:from>
      <xdr:col>7</xdr:col>
      <xdr:colOff>551329</xdr:colOff>
      <xdr:row>4</xdr:row>
      <xdr:rowOff>2241</xdr:rowOff>
    </xdr:from>
    <xdr:to>
      <xdr:col>12</xdr:col>
      <xdr:colOff>493059</xdr:colOff>
      <xdr:row>13</xdr:row>
      <xdr:rowOff>123266</xdr:rowOff>
    </xdr:to>
    <xdr:sp macro="" textlink="">
      <xdr:nvSpPr>
        <xdr:cNvPr id="7" name="TextBox 1">
          <a:extLst>
            <a:ext uri="{FF2B5EF4-FFF2-40B4-BE49-F238E27FC236}">
              <a16:creationId xmlns:a16="http://schemas.microsoft.com/office/drawing/2014/main" id="{40C5288E-195E-2F9D-19A1-AC94BF1AD9AA}"/>
            </a:ext>
          </a:extLst>
        </xdr:cNvPr>
        <xdr:cNvSpPr txBox="1"/>
      </xdr:nvSpPr>
      <xdr:spPr>
        <a:xfrm>
          <a:off x="12989858" y="764241"/>
          <a:ext cx="3662083" cy="1936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Cube Distance Measurement Discussion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John and Pan discussed measuring distances in a cube-related model, focusing on the distance from the cube edge and the reaction front. They agreed that measuring from the cube corner would be more accurate, as porosity channels start there, and the distance should be measured along a line perpendicular to these channels. Pan planned to provide a new set of values labeled based on the reaction front and intended to check if these values correlated well with the mechanism.</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152400</xdr:colOff>
      <xdr:row>24</xdr:row>
      <xdr:rowOff>95250</xdr:rowOff>
    </xdr:from>
    <xdr:ext cx="1016047" cy="416781"/>
    <xdr:sp macro="" textlink="">
      <xdr:nvSpPr>
        <xdr:cNvPr id="11" name="TextBox 10">
          <a:extLst>
            <a:ext uri="{FF2B5EF4-FFF2-40B4-BE49-F238E27FC236}">
              <a16:creationId xmlns:a16="http://schemas.microsoft.com/office/drawing/2014/main" id="{405C22EC-9D52-0DE0-5D65-69E862C7BC74}"/>
            </a:ext>
          </a:extLst>
        </xdr:cNvPr>
        <xdr:cNvSpPr txBox="1"/>
      </xdr:nvSpPr>
      <xdr:spPr>
        <a:xfrm>
          <a:off x="7620000" y="3752850"/>
          <a:ext cx="1016047"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latin typeface="Arial" panose="020B0604020202020204" pitchFamily="34" charset="0"/>
              <a:cs typeface="Arial" panose="020B0604020202020204" pitchFamily="34" charset="0"/>
            </a:rPr>
            <a:t>Replacement</a:t>
          </a:r>
        </a:p>
        <a:p>
          <a:pPr algn="ctr"/>
          <a:r>
            <a:rPr lang="en-US" sz="1100">
              <a:latin typeface="Arial" panose="020B0604020202020204" pitchFamily="34" charset="0"/>
              <a:cs typeface="Arial" panose="020B0604020202020204" pitchFamily="34" charset="0"/>
            </a:rPr>
            <a:t>zone</a:t>
          </a:r>
        </a:p>
      </xdr:txBody>
    </xdr:sp>
    <xdr:clientData/>
  </xdr:oneCellAnchor>
  <xdr:twoCellAnchor>
    <xdr:from>
      <xdr:col>1</xdr:col>
      <xdr:colOff>514350</xdr:colOff>
      <xdr:row>18</xdr:row>
      <xdr:rowOff>61912</xdr:rowOff>
    </xdr:from>
    <xdr:to>
      <xdr:col>10</xdr:col>
      <xdr:colOff>285750</xdr:colOff>
      <xdr:row>36</xdr:row>
      <xdr:rowOff>61912</xdr:rowOff>
    </xdr:to>
    <xdr:grpSp>
      <xdr:nvGrpSpPr>
        <xdr:cNvPr id="33" name="Group 32">
          <a:extLst>
            <a:ext uri="{FF2B5EF4-FFF2-40B4-BE49-F238E27FC236}">
              <a16:creationId xmlns:a16="http://schemas.microsoft.com/office/drawing/2014/main" id="{01D436AB-D87B-75FC-0E01-BB30E573AF94}"/>
            </a:ext>
          </a:extLst>
        </xdr:cNvPr>
        <xdr:cNvGrpSpPr/>
      </xdr:nvGrpSpPr>
      <xdr:grpSpPr>
        <a:xfrm>
          <a:off x="1049518" y="2801577"/>
          <a:ext cx="4587907" cy="2739665"/>
          <a:chOff x="1048916" y="2861096"/>
          <a:chExt cx="4582497" cy="2799183"/>
        </a:xfrm>
      </xdr:grpSpPr>
      <xdr:graphicFrame macro="">
        <xdr:nvGraphicFramePr>
          <xdr:cNvPr id="21" name="Chart 20">
            <a:extLst>
              <a:ext uri="{FF2B5EF4-FFF2-40B4-BE49-F238E27FC236}">
                <a16:creationId xmlns:a16="http://schemas.microsoft.com/office/drawing/2014/main" id="{8ACF18EC-30B8-914D-651F-BFD9F76C3C8C}"/>
              </a:ext>
            </a:extLst>
          </xdr:cNvPr>
          <xdr:cNvGraphicFramePr/>
        </xdr:nvGraphicFramePr>
        <xdr:xfrm>
          <a:off x="1048916" y="2861096"/>
          <a:ext cx="4582497" cy="2799183"/>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23" name="Straight Connector 22">
            <a:extLst>
              <a:ext uri="{FF2B5EF4-FFF2-40B4-BE49-F238E27FC236}">
                <a16:creationId xmlns:a16="http://schemas.microsoft.com/office/drawing/2014/main" id="{36E45697-41C7-099C-0365-99EDD95B34EB}"/>
              </a:ext>
            </a:extLst>
          </xdr:cNvPr>
          <xdr:cNvCxnSpPr/>
        </xdr:nvCxnSpPr>
        <xdr:spPr>
          <a:xfrm flipV="1">
            <a:off x="1896040" y="4775766"/>
            <a:ext cx="773423" cy="10434"/>
          </a:xfrm>
          <a:prstGeom prst="line">
            <a:avLst/>
          </a:prstGeom>
          <a:ln w="158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79926C81-4683-4D2E-9CF5-BA247FDAD506}"/>
              </a:ext>
            </a:extLst>
          </xdr:cNvPr>
          <xdr:cNvCxnSpPr/>
        </xdr:nvCxnSpPr>
        <xdr:spPr>
          <a:xfrm flipV="1">
            <a:off x="2670935" y="3558152"/>
            <a:ext cx="1960955" cy="28105"/>
          </a:xfrm>
          <a:prstGeom prst="line">
            <a:avLst/>
          </a:prstGeom>
          <a:ln w="158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CAA6EDBA-8C21-F9FF-7A77-BBFE198C6772}"/>
              </a:ext>
            </a:extLst>
          </xdr:cNvPr>
          <xdr:cNvCxnSpPr/>
        </xdr:nvCxnSpPr>
        <xdr:spPr>
          <a:xfrm>
            <a:off x="2672832" y="3580398"/>
            <a:ext cx="0" cy="1194811"/>
          </a:xfrm>
          <a:prstGeom prst="line">
            <a:avLst/>
          </a:prstGeom>
          <a:ln w="158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Arrow Connector 31">
            <a:extLst>
              <a:ext uri="{FF2B5EF4-FFF2-40B4-BE49-F238E27FC236}">
                <a16:creationId xmlns:a16="http://schemas.microsoft.com/office/drawing/2014/main" id="{3F02D370-C27D-71CB-27B6-FDED50847ED6}"/>
              </a:ext>
            </a:extLst>
          </xdr:cNvPr>
          <xdr:cNvCxnSpPr/>
        </xdr:nvCxnSpPr>
        <xdr:spPr>
          <a:xfrm flipH="1" flipV="1">
            <a:off x="2721429" y="4422321"/>
            <a:ext cx="592882" cy="22354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242887</xdr:colOff>
      <xdr:row>15</xdr:row>
      <xdr:rowOff>61912</xdr:rowOff>
    </xdr:from>
    <xdr:to>
      <xdr:col>21</xdr:col>
      <xdr:colOff>14287</xdr:colOff>
      <xdr:row>33</xdr:row>
      <xdr:rowOff>61912</xdr:rowOff>
    </xdr:to>
    <xdr:graphicFrame macro="">
      <xdr:nvGraphicFramePr>
        <xdr:cNvPr id="2" name="Chart 1">
          <a:extLst>
            <a:ext uri="{FF2B5EF4-FFF2-40B4-BE49-F238E27FC236}">
              <a16:creationId xmlns:a16="http://schemas.microsoft.com/office/drawing/2014/main" id="{EDFE8A7E-4223-7425-8476-A1CB07CDB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190499</xdr:colOff>
      <xdr:row>17</xdr:row>
      <xdr:rowOff>141153</xdr:rowOff>
    </xdr:from>
    <xdr:to>
      <xdr:col>16</xdr:col>
      <xdr:colOff>85660</xdr:colOff>
      <xdr:row>17</xdr:row>
      <xdr:rowOff>141153</xdr:rowOff>
    </xdr:to>
    <xdr:cxnSp macro="">
      <xdr:nvCxnSpPr>
        <xdr:cNvPr id="4" name="Straight Connector 3">
          <a:extLst>
            <a:ext uri="{FF2B5EF4-FFF2-40B4-BE49-F238E27FC236}">
              <a16:creationId xmlns:a16="http://schemas.microsoft.com/office/drawing/2014/main" id="{72437F87-0C82-F218-7DCD-ECF30E4BD8E3}"/>
            </a:ext>
          </a:extLst>
        </xdr:cNvPr>
        <xdr:cNvCxnSpPr/>
      </xdr:nvCxnSpPr>
      <xdr:spPr>
        <a:xfrm>
          <a:off x="7682844" y="2728614"/>
          <a:ext cx="965496" cy="0"/>
        </a:xfrm>
        <a:prstGeom prst="line">
          <a:avLst/>
        </a:prstGeom>
        <a:ln w="158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85659</xdr:colOff>
      <xdr:row>27</xdr:row>
      <xdr:rowOff>75897</xdr:rowOff>
    </xdr:from>
    <xdr:to>
      <xdr:col>19</xdr:col>
      <xdr:colOff>66676</xdr:colOff>
      <xdr:row>27</xdr:row>
      <xdr:rowOff>85219</xdr:rowOff>
    </xdr:to>
    <xdr:cxnSp macro="">
      <xdr:nvCxnSpPr>
        <xdr:cNvPr id="6" name="Straight Connector 5">
          <a:extLst>
            <a:ext uri="{FF2B5EF4-FFF2-40B4-BE49-F238E27FC236}">
              <a16:creationId xmlns:a16="http://schemas.microsoft.com/office/drawing/2014/main" id="{86F6C55A-6CB6-4289-9E71-A193985CADA8}"/>
            </a:ext>
          </a:extLst>
        </xdr:cNvPr>
        <xdr:cNvCxnSpPr/>
      </xdr:nvCxnSpPr>
      <xdr:spPr>
        <a:xfrm>
          <a:off x="8648339" y="4185394"/>
          <a:ext cx="1586520" cy="9322"/>
        </a:xfrm>
        <a:prstGeom prst="line">
          <a:avLst/>
        </a:prstGeom>
        <a:ln w="158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88377</xdr:colOff>
      <xdr:row>17</xdr:row>
      <xdr:rowOff>142384</xdr:rowOff>
    </xdr:from>
    <xdr:to>
      <xdr:col>16</xdr:col>
      <xdr:colOff>88377</xdr:colOff>
      <xdr:row>27</xdr:row>
      <xdr:rowOff>78557</xdr:rowOff>
    </xdr:to>
    <xdr:cxnSp macro="">
      <xdr:nvCxnSpPr>
        <xdr:cNvPr id="9" name="Straight Connector 8">
          <a:extLst>
            <a:ext uri="{FF2B5EF4-FFF2-40B4-BE49-F238E27FC236}">
              <a16:creationId xmlns:a16="http://schemas.microsoft.com/office/drawing/2014/main" id="{0F085908-C2DB-46DB-2A07-9DEC7EA342F6}"/>
            </a:ext>
          </a:extLst>
        </xdr:cNvPr>
        <xdr:cNvCxnSpPr/>
      </xdr:nvCxnSpPr>
      <xdr:spPr>
        <a:xfrm>
          <a:off x="8651057" y="2729845"/>
          <a:ext cx="0" cy="1458209"/>
        </a:xfrm>
        <a:prstGeom prst="line">
          <a:avLst/>
        </a:prstGeom>
        <a:ln w="158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114268</xdr:colOff>
      <xdr:row>19</xdr:row>
      <xdr:rowOff>47928</xdr:rowOff>
    </xdr:from>
    <xdr:to>
      <xdr:col>17</xdr:col>
      <xdr:colOff>133371</xdr:colOff>
      <xdr:row>20</xdr:row>
      <xdr:rowOff>29283</xdr:rowOff>
    </xdr:to>
    <xdr:cxnSp macro="">
      <xdr:nvCxnSpPr>
        <xdr:cNvPr id="19" name="Straight Arrow Connector 18">
          <a:extLst>
            <a:ext uri="{FF2B5EF4-FFF2-40B4-BE49-F238E27FC236}">
              <a16:creationId xmlns:a16="http://schemas.microsoft.com/office/drawing/2014/main" id="{0DA53DA4-4C52-A423-8265-B5FDEE04164E}"/>
            </a:ext>
          </a:extLst>
        </xdr:cNvPr>
        <xdr:cNvCxnSpPr/>
      </xdr:nvCxnSpPr>
      <xdr:spPr>
        <a:xfrm flipH="1">
          <a:off x="8676948" y="2939797"/>
          <a:ext cx="554271" cy="13355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388510</xdr:colOff>
      <xdr:row>18</xdr:row>
      <xdr:rowOff>47625</xdr:rowOff>
    </xdr:from>
    <xdr:to>
      <xdr:col>19</xdr:col>
      <xdr:colOff>182389</xdr:colOff>
      <xdr:row>27</xdr:row>
      <xdr:rowOff>45415</xdr:rowOff>
    </xdr:to>
    <xdr:grpSp>
      <xdr:nvGrpSpPr>
        <xdr:cNvPr id="8" name="Group 7">
          <a:extLst>
            <a:ext uri="{FF2B5EF4-FFF2-40B4-BE49-F238E27FC236}">
              <a16:creationId xmlns:a16="http://schemas.microsoft.com/office/drawing/2014/main" id="{45684DAC-EBD0-F8BC-0198-9492EB2C98A0}"/>
            </a:ext>
          </a:extLst>
        </xdr:cNvPr>
        <xdr:cNvGrpSpPr/>
      </xdr:nvGrpSpPr>
      <xdr:grpSpPr>
        <a:xfrm>
          <a:off x="7880855" y="2787290"/>
          <a:ext cx="2469717" cy="1367622"/>
          <a:chOff x="7880855" y="2787290"/>
          <a:chExt cx="2469717" cy="1367622"/>
        </a:xfrm>
      </xdr:grpSpPr>
      <xdr:sp macro="" textlink="">
        <xdr:nvSpPr>
          <xdr:cNvPr id="20" name="TextBox 19">
            <a:extLst>
              <a:ext uri="{FF2B5EF4-FFF2-40B4-BE49-F238E27FC236}">
                <a16:creationId xmlns:a16="http://schemas.microsoft.com/office/drawing/2014/main" id="{0E69D25B-C4CA-1DE2-AD07-A594FB21D540}"/>
              </a:ext>
            </a:extLst>
          </xdr:cNvPr>
          <xdr:cNvSpPr txBox="1"/>
        </xdr:nvSpPr>
        <xdr:spPr>
          <a:xfrm>
            <a:off x="9278823" y="2787290"/>
            <a:ext cx="1063048"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latin typeface="Arial" panose="020B0604020202020204" pitchFamily="34" charset="0"/>
                <a:cs typeface="Arial" panose="020B0604020202020204" pitchFamily="34" charset="0"/>
              </a:rPr>
              <a:t>Reaction</a:t>
            </a:r>
            <a:r>
              <a:rPr lang="en-US" sz="1200" baseline="0">
                <a:latin typeface="Arial" panose="020B0604020202020204" pitchFamily="34" charset="0"/>
                <a:cs typeface="Arial" panose="020B0604020202020204" pitchFamily="34" charset="0"/>
              </a:rPr>
              <a:t> front</a:t>
            </a:r>
            <a:endParaRPr lang="en-US" sz="1200">
              <a:latin typeface="Arial" panose="020B0604020202020204" pitchFamily="34" charset="0"/>
              <a:cs typeface="Arial" panose="020B0604020202020204" pitchFamily="34" charset="0"/>
            </a:endParaRPr>
          </a:p>
        </xdr:txBody>
      </xdr:sp>
      <xdr:sp macro="" textlink="">
        <xdr:nvSpPr>
          <xdr:cNvPr id="3" name="TextBox 2">
            <a:extLst>
              <a:ext uri="{FF2B5EF4-FFF2-40B4-BE49-F238E27FC236}">
                <a16:creationId xmlns:a16="http://schemas.microsoft.com/office/drawing/2014/main" id="{706DE376-9B6F-65C3-250D-E8E5E32E6DF2}"/>
              </a:ext>
            </a:extLst>
          </xdr:cNvPr>
          <xdr:cNvSpPr txBox="1"/>
        </xdr:nvSpPr>
        <xdr:spPr>
          <a:xfrm rot="16200000">
            <a:off x="7575220" y="3350344"/>
            <a:ext cx="1110203" cy="4989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Arial" panose="020B0604020202020204" pitchFamily="34" charset="0"/>
                <a:cs typeface="Arial" panose="020B0604020202020204" pitchFamily="34" charset="0"/>
              </a:rPr>
              <a:t>Replacement zone</a:t>
            </a:r>
          </a:p>
        </xdr:txBody>
      </xdr:sp>
      <xdr:sp macro="" textlink="">
        <xdr:nvSpPr>
          <xdr:cNvPr id="7" name="TextBox 6">
            <a:extLst>
              <a:ext uri="{FF2B5EF4-FFF2-40B4-BE49-F238E27FC236}">
                <a16:creationId xmlns:a16="http://schemas.microsoft.com/office/drawing/2014/main" id="{CCF4C1FF-EC57-AA74-0D57-01D892924A93}"/>
              </a:ext>
            </a:extLst>
          </xdr:cNvPr>
          <xdr:cNvSpPr txBox="1"/>
        </xdr:nvSpPr>
        <xdr:spPr>
          <a:xfrm>
            <a:off x="9107668" y="3485954"/>
            <a:ext cx="1242904"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latin typeface="Arial" panose="020B0604020202020204" pitchFamily="34" charset="0"/>
                <a:cs typeface="Arial" panose="020B0604020202020204" pitchFamily="34" charset="0"/>
              </a:rPr>
              <a:t>Metamict ZrSiO</a:t>
            </a:r>
            <a:r>
              <a:rPr lang="en-US" sz="1100" baseline="-25000">
                <a:latin typeface="Arial" panose="020B0604020202020204" pitchFamily="34" charset="0"/>
                <a:cs typeface="Arial" panose="020B0604020202020204" pitchFamily="34" charset="0"/>
              </a:rPr>
              <a:t>4</a:t>
            </a: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0.20925</cdr:x>
      <cdr:y>0.27487</cdr:y>
    </cdr:from>
    <cdr:to>
      <cdr:x>0.32191</cdr:x>
      <cdr:y>0.60503</cdr:y>
    </cdr:to>
    <cdr:sp macro="" textlink="">
      <cdr:nvSpPr>
        <cdr:cNvPr id="2" name="TextBox 1">
          <a:extLst xmlns:a="http://schemas.openxmlformats.org/drawingml/2006/main">
            <a:ext uri="{FF2B5EF4-FFF2-40B4-BE49-F238E27FC236}">
              <a16:creationId xmlns:a16="http://schemas.microsoft.com/office/drawing/2014/main" id="{12064DFF-4DC5-8474-7760-245C227733E1}"/>
            </a:ext>
          </a:extLst>
        </cdr:cNvPr>
        <cdr:cNvSpPr txBox="1"/>
      </cdr:nvSpPr>
      <cdr:spPr>
        <a:xfrm xmlns:a="http://schemas.openxmlformats.org/drawingml/2006/main" rot="16200000">
          <a:off x="760539" y="960196"/>
          <a:ext cx="914400" cy="5165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200" kern="1200">
              <a:latin typeface="Arial" panose="020B0604020202020204" pitchFamily="34" charset="0"/>
              <a:cs typeface="Arial" panose="020B0604020202020204" pitchFamily="34" charset="0"/>
            </a:rPr>
            <a:t>Replacement</a:t>
          </a:r>
        </a:p>
        <a:p xmlns:a="http://schemas.openxmlformats.org/drawingml/2006/main">
          <a:pPr algn="ctr"/>
          <a:r>
            <a:rPr lang="en-US" sz="1200" kern="1200">
              <a:latin typeface="Arial" panose="020B0604020202020204" pitchFamily="34" charset="0"/>
              <a:cs typeface="Arial" panose="020B0604020202020204" pitchFamily="34" charset="0"/>
            </a:rPr>
            <a:t>zone</a:t>
          </a:r>
        </a:p>
      </cdr:txBody>
    </cdr:sp>
  </cdr:relSizeAnchor>
  <cdr:relSizeAnchor xmlns:cdr="http://schemas.openxmlformats.org/drawingml/2006/chartDrawing">
    <cdr:from>
      <cdr:x>0.4777</cdr:x>
      <cdr:y>0.36884</cdr:y>
    </cdr:from>
    <cdr:to>
      <cdr:x>0.74645</cdr:x>
      <cdr:y>0.47648</cdr:y>
    </cdr:to>
    <cdr:sp macro="" textlink="">
      <cdr:nvSpPr>
        <cdr:cNvPr id="3" name="TextBox 1">
          <a:extLst xmlns:a="http://schemas.openxmlformats.org/drawingml/2006/main">
            <a:ext uri="{FF2B5EF4-FFF2-40B4-BE49-F238E27FC236}">
              <a16:creationId xmlns:a16="http://schemas.microsoft.com/office/drawing/2014/main" id="{5F49EF65-91AF-AF7B-5882-2FF886A0D366}"/>
            </a:ext>
          </a:extLst>
        </cdr:cNvPr>
        <cdr:cNvSpPr txBox="1"/>
      </cdr:nvSpPr>
      <cdr:spPr>
        <a:xfrm xmlns:a="http://schemas.openxmlformats.org/drawingml/2006/main">
          <a:off x="2189065" y="1032458"/>
          <a:ext cx="1231546" cy="30130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kern="1200">
              <a:latin typeface="Arial" panose="020B0604020202020204" pitchFamily="34" charset="0"/>
              <a:cs typeface="Arial" panose="020B0604020202020204" pitchFamily="34" charset="0"/>
            </a:rPr>
            <a:t>Metamict ZrSiO</a:t>
          </a:r>
          <a:r>
            <a:rPr lang="en-US" sz="1200" kern="1200" baseline="-25000">
              <a:latin typeface="Arial" panose="020B0604020202020204" pitchFamily="34" charset="0"/>
              <a:cs typeface="Arial" panose="020B0604020202020204" pitchFamily="34" charset="0"/>
            </a:rPr>
            <a:t>4</a:t>
          </a:r>
        </a:p>
      </cdr:txBody>
    </cdr:sp>
  </cdr:relSizeAnchor>
  <cdr:relSizeAnchor xmlns:cdr="http://schemas.openxmlformats.org/drawingml/2006/chartDrawing">
    <cdr:from>
      <cdr:x>0.49043</cdr:x>
      <cdr:y>0.61884</cdr:y>
    </cdr:from>
    <cdr:to>
      <cdr:x>0.73981</cdr:x>
      <cdr:y>0.71507</cdr:y>
    </cdr:to>
    <cdr:sp macro="" textlink="">
      <cdr:nvSpPr>
        <cdr:cNvPr id="4" name="TextBox 19">
          <a:extLst xmlns:a="http://schemas.openxmlformats.org/drawingml/2006/main">
            <a:ext uri="{FF2B5EF4-FFF2-40B4-BE49-F238E27FC236}">
              <a16:creationId xmlns:a16="http://schemas.microsoft.com/office/drawing/2014/main" id="{0E69D25B-C4CA-1DE2-AD07-A594FB21D540}"/>
            </a:ext>
          </a:extLst>
        </cdr:cNvPr>
        <cdr:cNvSpPr txBox="1"/>
      </cdr:nvSpPr>
      <cdr:spPr>
        <a:xfrm xmlns:a="http://schemas.openxmlformats.org/drawingml/2006/main">
          <a:off x="2247382" y="1732254"/>
          <a:ext cx="1142813" cy="26936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200">
              <a:latin typeface="Arial" panose="020B0604020202020204" pitchFamily="34" charset="0"/>
              <a:cs typeface="Arial" panose="020B0604020202020204" pitchFamily="34" charset="0"/>
            </a:rPr>
            <a:t>Reaction</a:t>
          </a:r>
          <a:r>
            <a:rPr lang="en-US" sz="1200" baseline="0">
              <a:latin typeface="Arial" panose="020B0604020202020204" pitchFamily="34" charset="0"/>
              <a:cs typeface="Arial" panose="020B0604020202020204" pitchFamily="34" charset="0"/>
            </a:rPr>
            <a:t> front</a:t>
          </a:r>
          <a:endParaRPr lang="en-US" sz="1200">
            <a:latin typeface="Arial" panose="020B0604020202020204" pitchFamily="34" charset="0"/>
            <a:cs typeface="Arial" panose="020B0604020202020204" pitchFamily="34"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2793-DA00-4C58-BF75-582244D2F2C9}">
  <dimension ref="A1:H37"/>
  <sheetViews>
    <sheetView zoomScale="85" zoomScaleNormal="85" workbookViewId="0">
      <selection activeCell="N22" sqref="N22"/>
    </sheetView>
  </sheetViews>
  <sheetFormatPr defaultRowHeight="12"/>
  <cols>
    <col min="1" max="1" width="37.83203125" customWidth="1"/>
    <col min="2" max="2" width="13" bestFit="1" customWidth="1"/>
    <col min="3" max="3" width="11.5" bestFit="1" customWidth="1"/>
    <col min="4" max="4" width="31.1640625" bestFit="1" customWidth="1"/>
    <col min="5" max="5" width="41.33203125" bestFit="1" customWidth="1"/>
    <col min="6" max="7" width="41.33203125" customWidth="1"/>
    <col min="8" max="8" width="22.6640625" bestFit="1" customWidth="1"/>
    <col min="9" max="9" width="14.1640625" bestFit="1" customWidth="1"/>
  </cols>
  <sheetData>
    <row r="1" spans="1:8" ht="12.75" thickBot="1">
      <c r="B1" t="s">
        <v>28</v>
      </c>
      <c r="C1" t="s">
        <v>13</v>
      </c>
      <c r="D1" t="s">
        <v>25</v>
      </c>
      <c r="E1" t="s">
        <v>26</v>
      </c>
      <c r="F1" t="s">
        <v>33</v>
      </c>
      <c r="G1" t="s">
        <v>34</v>
      </c>
      <c r="H1" t="s">
        <v>27</v>
      </c>
    </row>
    <row r="2" spans="1:8" ht="15.75">
      <c r="A2" s="1" t="s">
        <v>0</v>
      </c>
      <c r="B2" s="2">
        <v>20051.25235313379</v>
      </c>
      <c r="C2" s="3">
        <v>5171.1216660248792</v>
      </c>
      <c r="D2" s="27">
        <v>1.05</v>
      </c>
      <c r="E2" s="22"/>
      <c r="F2" s="23">
        <v>9.94</v>
      </c>
      <c r="G2">
        <f>5*F2/H$2</f>
        <v>153.39506172839504</v>
      </c>
      <c r="H2" s="13">
        <v>0.32400000000000001</v>
      </c>
    </row>
    <row r="3" spans="1:8" ht="15.75">
      <c r="A3" s="4" t="s">
        <v>1</v>
      </c>
      <c r="B3" s="14">
        <v>159.7043852195761</v>
      </c>
      <c r="C3" s="5">
        <v>41.189763712169125</v>
      </c>
      <c r="D3" s="28">
        <v>6.61</v>
      </c>
      <c r="E3" s="25"/>
      <c r="F3" s="14">
        <v>14.54</v>
      </c>
      <c r="G3">
        <f t="shared" ref="G3:G14" si="0">5*F3/H$2</f>
        <v>224.38271604938268</v>
      </c>
    </row>
    <row r="4" spans="1:8" ht="15.75">
      <c r="A4" s="4" t="s">
        <v>2</v>
      </c>
      <c r="B4" s="14">
        <v>1.3698790409777395</v>
      </c>
      <c r="C4" s="5">
        <v>0.35493963604850343</v>
      </c>
      <c r="D4" s="28">
        <v>12.47</v>
      </c>
      <c r="E4" s="25">
        <v>16.829999999999998</v>
      </c>
      <c r="F4" s="14">
        <v>18.420000000000002</v>
      </c>
      <c r="G4">
        <f t="shared" si="0"/>
        <v>284.2592592592593</v>
      </c>
    </row>
    <row r="5" spans="1:8" ht="15.75">
      <c r="A5" s="4" t="s">
        <v>3</v>
      </c>
      <c r="B5" s="14">
        <v>0.9472813929625179</v>
      </c>
      <c r="C5" s="5">
        <v>0.24499472027660035</v>
      </c>
      <c r="D5" s="28">
        <v>17.309999999999999</v>
      </c>
      <c r="E5" s="25">
        <v>17.86</v>
      </c>
      <c r="F5" s="14">
        <v>23.14</v>
      </c>
      <c r="G5">
        <f t="shared" si="0"/>
        <v>357.09876543209879</v>
      </c>
    </row>
    <row r="6" spans="1:8" ht="15.75">
      <c r="A6" s="4" t="s">
        <v>4</v>
      </c>
      <c r="B6" s="14">
        <v>0.2028976167485208</v>
      </c>
      <c r="C6" s="5">
        <v>5.2460055662694863E-2</v>
      </c>
      <c r="D6" s="28"/>
      <c r="E6" s="25"/>
      <c r="F6" s="32">
        <v>37.130000000000003</v>
      </c>
      <c r="G6">
        <f t="shared" si="0"/>
        <v>572.99382716049388</v>
      </c>
    </row>
    <row r="7" spans="1:8" ht="15.75">
      <c r="A7" s="4" t="s">
        <v>5</v>
      </c>
      <c r="B7" s="14">
        <v>-0.25623151858167326</v>
      </c>
      <c r="C7" s="5">
        <v>6.6302633332002703E-2</v>
      </c>
      <c r="D7" s="28"/>
      <c r="E7" s="25"/>
      <c r="F7" s="32">
        <v>34.58</v>
      </c>
      <c r="G7">
        <f t="shared" si="0"/>
        <v>533.64197530864192</v>
      </c>
    </row>
    <row r="8" spans="1:8" ht="15.75">
      <c r="A8" s="4" t="s">
        <v>6</v>
      </c>
      <c r="B8" s="14">
        <v>2.3035673760489761</v>
      </c>
      <c r="C8" s="5">
        <v>0.5971036007911158</v>
      </c>
      <c r="D8" s="28"/>
      <c r="E8" s="25"/>
      <c r="F8" s="32">
        <v>38.56</v>
      </c>
      <c r="G8">
        <f t="shared" si="0"/>
        <v>595.06172839506178</v>
      </c>
    </row>
    <row r="9" spans="1:8" ht="15.75">
      <c r="A9" s="4" t="s">
        <v>7</v>
      </c>
      <c r="B9" s="14">
        <v>245.32213953983239</v>
      </c>
      <c r="C9" s="5">
        <v>63.322554761927236</v>
      </c>
      <c r="D9" s="28">
        <v>4.42</v>
      </c>
      <c r="E9" s="25"/>
      <c r="F9" s="32">
        <v>48.68</v>
      </c>
      <c r="G9">
        <f t="shared" si="0"/>
        <v>751.23456790123453</v>
      </c>
    </row>
    <row r="10" spans="1:8" ht="15.75">
      <c r="A10" s="4" t="s">
        <v>8</v>
      </c>
      <c r="B10" s="14">
        <v>382.85714507232814</v>
      </c>
      <c r="C10" s="5">
        <v>98.740180068156775</v>
      </c>
      <c r="D10" s="28">
        <v>6.77</v>
      </c>
      <c r="E10" s="25"/>
      <c r="F10" s="32">
        <v>42.43</v>
      </c>
      <c r="G10">
        <f t="shared" si="0"/>
        <v>654.78395061728395</v>
      </c>
    </row>
    <row r="11" spans="1:8" ht="15.75">
      <c r="A11" s="4" t="s">
        <v>9</v>
      </c>
      <c r="B11" s="14">
        <v>0.15414133503388605</v>
      </c>
      <c r="C11" s="5">
        <v>3.9870462271725318E-2</v>
      </c>
      <c r="D11" s="28">
        <v>6.66</v>
      </c>
      <c r="E11" s="25">
        <v>19.239999999999998</v>
      </c>
      <c r="F11" s="14">
        <v>18.690000000000001</v>
      </c>
      <c r="G11">
        <f t="shared" si="0"/>
        <v>288.42592592592592</v>
      </c>
    </row>
    <row r="12" spans="1:8" ht="15.75">
      <c r="A12" s="4" t="s">
        <v>10</v>
      </c>
      <c r="B12" s="14">
        <v>9.7465632704674121</v>
      </c>
      <c r="C12" s="5">
        <v>2.587536343938154</v>
      </c>
      <c r="D12" s="28">
        <v>11.92</v>
      </c>
      <c r="E12" s="25">
        <v>17.010000000000002</v>
      </c>
      <c r="F12" s="14">
        <v>16.88</v>
      </c>
      <c r="G12">
        <f t="shared" si="0"/>
        <v>260.49382716049377</v>
      </c>
    </row>
    <row r="13" spans="1:8" ht="15.75">
      <c r="A13" s="6" t="s">
        <v>11</v>
      </c>
      <c r="B13" s="15">
        <v>14949.084376704164</v>
      </c>
      <c r="C13" s="7">
        <v>3855.3890606469909</v>
      </c>
      <c r="D13" s="28">
        <v>6.89</v>
      </c>
      <c r="E13" s="25">
        <v>14.72</v>
      </c>
      <c r="F13" s="14">
        <v>14.43</v>
      </c>
      <c r="G13">
        <f t="shared" si="0"/>
        <v>222.68518518518519</v>
      </c>
    </row>
    <row r="14" spans="1:8" ht="16.5" thickBot="1">
      <c r="A14" s="8" t="s">
        <v>12</v>
      </c>
      <c r="B14" s="9">
        <v>17631.938039757577</v>
      </c>
      <c r="C14" s="10">
        <v>4547.1932664181277</v>
      </c>
      <c r="D14" s="29">
        <v>2.08</v>
      </c>
      <c r="E14" s="26">
        <v>8.2899999999999991</v>
      </c>
      <c r="F14" s="21">
        <v>7.54</v>
      </c>
      <c r="G14">
        <f t="shared" si="0"/>
        <v>116.35802469135803</v>
      </c>
    </row>
    <row r="15" spans="1:8">
      <c r="G15" s="24"/>
    </row>
    <row r="16" spans="1:8">
      <c r="G16" s="24"/>
    </row>
    <row r="17" spans="1:7" ht="12.75" thickBot="1">
      <c r="B17" t="s">
        <v>29</v>
      </c>
      <c r="C17" t="s">
        <v>13</v>
      </c>
      <c r="G17" s="24"/>
    </row>
    <row r="18" spans="1:7" ht="15.75">
      <c r="A18" s="1" t="s">
        <v>14</v>
      </c>
      <c r="B18" s="12">
        <v>-46.935335450475677</v>
      </c>
      <c r="C18" s="17">
        <v>3.7025908457585541</v>
      </c>
      <c r="D18" s="22">
        <v>2.56</v>
      </c>
      <c r="E18" s="22">
        <v>7.57</v>
      </c>
      <c r="F18" s="22">
        <v>7.19</v>
      </c>
      <c r="G18">
        <f t="shared" ref="G18:G28" si="1">5*F18/H$2</f>
        <v>110.9567901234568</v>
      </c>
    </row>
    <row r="19" spans="1:7" ht="15.75">
      <c r="A19" s="6" t="s">
        <v>15</v>
      </c>
      <c r="B19" s="16">
        <v>-45.522731068155522</v>
      </c>
      <c r="C19" s="18">
        <v>3.5903977747660401</v>
      </c>
      <c r="D19" s="25">
        <v>5.37</v>
      </c>
      <c r="E19" s="25">
        <v>15.15</v>
      </c>
      <c r="F19" s="25">
        <v>14.59</v>
      </c>
      <c r="G19">
        <f t="shared" si="1"/>
        <v>225.15432098765433</v>
      </c>
    </row>
    <row r="20" spans="1:7" ht="15.75">
      <c r="A20" s="4" t="s">
        <v>16</v>
      </c>
      <c r="B20" s="33">
        <v>-0.23481940973912874</v>
      </c>
      <c r="C20" s="19">
        <v>1.8716742542420516E-2</v>
      </c>
      <c r="D20" s="25">
        <v>12.08</v>
      </c>
      <c r="E20" s="25">
        <v>18.78</v>
      </c>
      <c r="F20" s="25">
        <v>18.510000000000002</v>
      </c>
      <c r="G20">
        <f t="shared" si="1"/>
        <v>285.64814814814815</v>
      </c>
    </row>
    <row r="21" spans="1:7" ht="15.75">
      <c r="A21" s="4" t="s">
        <v>17</v>
      </c>
      <c r="B21" s="33">
        <v>-1.1459569803002889</v>
      </c>
      <c r="C21" s="19">
        <v>9.1698688885603605E-2</v>
      </c>
      <c r="D21" s="25">
        <v>9.5299999999999994</v>
      </c>
      <c r="E21" s="25">
        <v>21.38</v>
      </c>
      <c r="F21" s="25">
        <v>20.86</v>
      </c>
      <c r="G21">
        <f t="shared" si="1"/>
        <v>321.91358024691357</v>
      </c>
    </row>
    <row r="22" spans="1:7" ht="15.75">
      <c r="A22" s="4" t="s">
        <v>18</v>
      </c>
      <c r="B22" s="33">
        <v>-5.7310175444530431</v>
      </c>
      <c r="C22" s="19">
        <v>0.45657699604669172</v>
      </c>
      <c r="D22" s="25"/>
      <c r="E22" s="25"/>
      <c r="F22" s="30">
        <v>39.979999999999997</v>
      </c>
      <c r="G22">
        <f t="shared" si="1"/>
        <v>616.97530864197518</v>
      </c>
    </row>
    <row r="23" spans="1:7" ht="15.75">
      <c r="A23" s="4" t="s">
        <v>19</v>
      </c>
      <c r="B23" s="33">
        <v>-3.3459915214025804</v>
      </c>
      <c r="C23" s="19">
        <v>0.26830220622057588</v>
      </c>
      <c r="D23" s="25"/>
      <c r="E23" s="25"/>
      <c r="F23" s="31">
        <v>43.21</v>
      </c>
      <c r="G23">
        <f t="shared" si="1"/>
        <v>666.82098765432102</v>
      </c>
    </row>
    <row r="24" spans="1:7" ht="15.75">
      <c r="A24" s="4" t="s">
        <v>20</v>
      </c>
      <c r="B24" s="33">
        <v>-0.80402307241755899</v>
      </c>
      <c r="C24" s="19">
        <v>6.583859067259018E-2</v>
      </c>
      <c r="D24" s="25"/>
      <c r="E24" s="25"/>
      <c r="F24" s="25">
        <v>46.02</v>
      </c>
      <c r="G24">
        <f t="shared" si="1"/>
        <v>710.18518518518522</v>
      </c>
    </row>
    <row r="25" spans="1:7" ht="15.75">
      <c r="A25" s="6" t="s">
        <v>21</v>
      </c>
      <c r="B25" s="16">
        <v>-29.865163840039788</v>
      </c>
      <c r="C25" s="18">
        <v>2.3623411285781244</v>
      </c>
      <c r="D25" s="25"/>
      <c r="E25" s="25"/>
      <c r="F25" s="30">
        <v>48.94</v>
      </c>
      <c r="G25">
        <f t="shared" si="1"/>
        <v>755.24691358024688</v>
      </c>
    </row>
    <row r="26" spans="1:7" ht="15.75">
      <c r="A26" s="4" t="s">
        <v>22</v>
      </c>
      <c r="B26" s="33">
        <v>-3.3309236365186567</v>
      </c>
      <c r="C26" s="19">
        <v>0.26703271874781842</v>
      </c>
      <c r="D26" s="25"/>
      <c r="E26" s="25"/>
      <c r="F26" s="30">
        <v>51.41</v>
      </c>
      <c r="G26">
        <f t="shared" si="1"/>
        <v>793.36419753086398</v>
      </c>
    </row>
    <row r="27" spans="1:7" ht="15.75">
      <c r="A27" s="6" t="s">
        <v>23</v>
      </c>
      <c r="B27" s="16">
        <v>-48.659374543719267</v>
      </c>
      <c r="C27" s="18">
        <v>3.8371214837071084</v>
      </c>
      <c r="D27" s="25">
        <v>1.85</v>
      </c>
      <c r="E27" s="25"/>
      <c r="F27" s="25">
        <v>11.26</v>
      </c>
      <c r="G27">
        <f t="shared" si="1"/>
        <v>173.76543209876542</v>
      </c>
    </row>
    <row r="28" spans="1:7" ht="16.5" thickBot="1">
      <c r="A28" s="11" t="s">
        <v>24</v>
      </c>
      <c r="B28" s="34">
        <v>-1.5126610718184663</v>
      </c>
      <c r="C28" s="20">
        <v>0.12145484897914476</v>
      </c>
      <c r="D28" s="26">
        <v>7.2</v>
      </c>
      <c r="E28" s="26"/>
      <c r="F28" s="26">
        <v>18.420000000000002</v>
      </c>
      <c r="G28">
        <f t="shared" si="1"/>
        <v>284.2592592592593</v>
      </c>
    </row>
    <row r="37" spans="1:7">
      <c r="A37" t="s">
        <v>31</v>
      </c>
      <c r="E37" t="s">
        <v>30</v>
      </c>
      <c r="G37" t="s">
        <v>32</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DD77-9E06-447A-96E1-CFB48A8159C1}">
  <dimension ref="A1:H14"/>
  <sheetViews>
    <sheetView tabSelected="1" zoomScale="194" zoomScaleNormal="194" workbookViewId="0">
      <selection activeCell="F1" sqref="F1:H12"/>
    </sheetView>
  </sheetViews>
  <sheetFormatPr defaultRowHeight="12"/>
  <sheetData>
    <row r="1" spans="1:8">
      <c r="A1" t="s">
        <v>34</v>
      </c>
      <c r="B1" t="s">
        <v>35</v>
      </c>
      <c r="C1" t="s">
        <v>13</v>
      </c>
      <c r="F1" t="s">
        <v>34</v>
      </c>
      <c r="G1" t="s">
        <v>36</v>
      </c>
      <c r="H1" t="s">
        <v>13</v>
      </c>
    </row>
    <row r="2" spans="1:8">
      <c r="A2">
        <v>116.35802469135803</v>
      </c>
      <c r="B2">
        <v>17631.938039757577</v>
      </c>
      <c r="C2">
        <v>4547.1932664181277</v>
      </c>
      <c r="F2">
        <v>110.9567901234568</v>
      </c>
      <c r="G2">
        <v>-46.935335450475677</v>
      </c>
      <c r="H2">
        <v>3.7025908457585541</v>
      </c>
    </row>
    <row r="3" spans="1:8">
      <c r="A3">
        <v>153.39506172839504</v>
      </c>
      <c r="B3">
        <v>20051.25235313379</v>
      </c>
      <c r="C3">
        <v>5171.1216660248792</v>
      </c>
      <c r="F3">
        <v>173.76543209876542</v>
      </c>
      <c r="G3">
        <v>-48.659374543719267</v>
      </c>
      <c r="H3">
        <v>3.8371214837071084</v>
      </c>
    </row>
    <row r="4" spans="1:8">
      <c r="A4">
        <v>222.68518518518519</v>
      </c>
      <c r="B4">
        <v>14949.084376704164</v>
      </c>
      <c r="C4">
        <v>3855.3890606469909</v>
      </c>
      <c r="F4">
        <v>225.15432098765433</v>
      </c>
      <c r="G4">
        <v>-45.522731068155522</v>
      </c>
      <c r="H4">
        <v>3.5903977747660401</v>
      </c>
    </row>
    <row r="5" spans="1:8">
      <c r="A5">
        <v>224.38271604938268</v>
      </c>
      <c r="B5">
        <v>159.7043852195761</v>
      </c>
      <c r="C5">
        <v>41.189763712169125</v>
      </c>
      <c r="F5">
        <v>284.2592592592593</v>
      </c>
      <c r="G5">
        <v>-1.5126610718184663</v>
      </c>
      <c r="H5">
        <v>0.12145484897914476</v>
      </c>
    </row>
    <row r="6" spans="1:8">
      <c r="A6">
        <v>260.49382716049377</v>
      </c>
      <c r="B6">
        <v>9.7465632704674121</v>
      </c>
      <c r="C6">
        <v>2.587536343938154</v>
      </c>
      <c r="F6">
        <v>285.64814814814815</v>
      </c>
      <c r="G6">
        <v>-0.23481940973912874</v>
      </c>
      <c r="H6">
        <v>1.8716742542420516E-2</v>
      </c>
    </row>
    <row r="7" spans="1:8">
      <c r="A7">
        <v>284.2592592592593</v>
      </c>
      <c r="B7">
        <v>1.3698790409777395</v>
      </c>
      <c r="C7">
        <v>0.35493963604850343</v>
      </c>
      <c r="F7">
        <v>321.91358024691357</v>
      </c>
      <c r="G7">
        <v>-1.1459569803002889</v>
      </c>
      <c r="H7">
        <v>9.1698688885603605E-2</v>
      </c>
    </row>
    <row r="8" spans="1:8">
      <c r="A8">
        <v>288.42592592592592</v>
      </c>
      <c r="B8">
        <v>0.15414133503388605</v>
      </c>
      <c r="C8">
        <v>3.9870462271725318E-2</v>
      </c>
      <c r="F8">
        <v>616.97530864197518</v>
      </c>
      <c r="G8">
        <v>-5.7310175444530431</v>
      </c>
      <c r="H8">
        <v>0.45657699604669172</v>
      </c>
    </row>
    <row r="9" spans="1:8">
      <c r="A9">
        <v>357.09876543209879</v>
      </c>
      <c r="B9">
        <v>0.9472813929625179</v>
      </c>
      <c r="C9">
        <v>0.24499472027660035</v>
      </c>
      <c r="F9">
        <v>666.82098765432102</v>
      </c>
      <c r="G9">
        <v>-3.3459915214025804</v>
      </c>
      <c r="H9">
        <v>0.26830220622057588</v>
      </c>
    </row>
    <row r="10" spans="1:8">
      <c r="A10">
        <v>533.64197530864192</v>
      </c>
      <c r="B10">
        <v>-0.25623151858167326</v>
      </c>
      <c r="C10">
        <v>6.6302633332002703E-2</v>
      </c>
      <c r="F10">
        <v>710.18518518518522</v>
      </c>
      <c r="G10">
        <v>-0.80402307241755899</v>
      </c>
      <c r="H10">
        <v>6.583859067259018E-2</v>
      </c>
    </row>
    <row r="11" spans="1:8">
      <c r="A11">
        <v>572.99382716049388</v>
      </c>
      <c r="B11">
        <v>0.2028976167485208</v>
      </c>
      <c r="C11">
        <v>5.2460055662694863E-2</v>
      </c>
      <c r="F11">
        <v>755.24691358024688</v>
      </c>
      <c r="G11">
        <v>-29.865163840039788</v>
      </c>
      <c r="H11">
        <v>2.3623411285781244</v>
      </c>
    </row>
    <row r="12" spans="1:8">
      <c r="A12">
        <v>595.06172839506178</v>
      </c>
      <c r="B12">
        <v>2.3035673760489761</v>
      </c>
      <c r="C12">
        <v>0.5971036007911158</v>
      </c>
      <c r="F12">
        <v>793.36419753086398</v>
      </c>
      <c r="G12">
        <v>-3.3309236365186567</v>
      </c>
      <c r="H12">
        <v>0.26703271874781842</v>
      </c>
    </row>
    <row r="13" spans="1:8">
      <c r="A13">
        <v>654.78395061728395</v>
      </c>
      <c r="B13">
        <v>382.85714507232814</v>
      </c>
      <c r="C13">
        <v>98.740180068156775</v>
      </c>
    </row>
    <row r="14" spans="1:8">
      <c r="A14">
        <v>751.23456790123453</v>
      </c>
      <c r="B14">
        <v>245.32213953983239</v>
      </c>
      <c r="C14">
        <v>63.322554761927236</v>
      </c>
    </row>
  </sheetData>
  <sortState xmlns:xlrd2="http://schemas.microsoft.com/office/spreadsheetml/2017/richdata2" ref="F2:H12">
    <sortCondition ref="F2:F1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Measurements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 CUG</dc:creator>
  <cp:lastModifiedBy>John Ayers</cp:lastModifiedBy>
  <dcterms:created xsi:type="dcterms:W3CDTF">2025-11-27T07:39:12Z</dcterms:created>
  <dcterms:modified xsi:type="dcterms:W3CDTF">2026-10-13T16:57:13Z</dcterms:modified>
</cp:coreProperties>
</file>