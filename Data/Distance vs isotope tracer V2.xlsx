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DataAnalysis/"/>
    </mc:Choice>
  </mc:AlternateContent>
  <xr:revisionPtr revIDLastSave="145" documentId="13_ncr:1_{1E046CB1-651E-4566-936A-119B9E97932F}" xr6:coauthVersionLast="47" xr6:coauthVersionMax="47" xr10:uidLastSave="{34EDFEA6-0EB4-4016-962F-8E7747A8631F}"/>
  <bookViews>
    <workbookView xWindow="-110" yWindow="-110" windowWidth="19420" windowHeight="10300" activeTab="1" xr2:uid="{72B87CE5-8118-4983-BC83-4F99D56C845E}"/>
  </bookViews>
  <sheets>
    <sheet name="Sheet1" sheetId="1" r:id="rId1"/>
    <sheet name="Plo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11" i="1"/>
  <c r="I12" i="1"/>
  <c r="I13" i="1"/>
  <c r="I14" i="1"/>
  <c r="I18" i="1"/>
  <c r="I19" i="1"/>
  <c r="I20" i="1"/>
  <c r="I21" i="1"/>
  <c r="I27" i="1"/>
  <c r="I28" i="1"/>
  <c r="I2" i="1"/>
</calcChain>
</file>

<file path=xl/sharedStrings.xml><?xml version="1.0" encoding="utf-8"?>
<sst xmlns="http://schemas.openxmlformats.org/spreadsheetml/2006/main" count="51" uniqueCount="36">
  <si>
    <t>Si_15@1.asc</t>
  </si>
  <si>
    <t>Si_15@2.asc</t>
  </si>
  <si>
    <t>Si_15@3.asc</t>
  </si>
  <si>
    <t>Si_15@4.asc</t>
  </si>
  <si>
    <t>Si_15@5.asc</t>
  </si>
  <si>
    <t>Si_15@6.asc</t>
  </si>
  <si>
    <t>Si_15@7.asc</t>
  </si>
  <si>
    <t>Si_15@8.asc</t>
  </si>
  <si>
    <t>Si_15@9.asc</t>
  </si>
  <si>
    <t>Si_15@10.asc</t>
  </si>
  <si>
    <t>Si_15@11.asc</t>
  </si>
  <si>
    <t>Si_15@12.asc</t>
  </si>
  <si>
    <t>Si_15@13.asc</t>
  </si>
  <si>
    <t>SE(Prop)</t>
  </si>
  <si>
    <t>15@1.asc</t>
  </si>
  <si>
    <t>15@2.asc</t>
  </si>
  <si>
    <t>15@3.asc</t>
  </si>
  <si>
    <t>15@4.asc</t>
  </si>
  <si>
    <t>15@5.asc</t>
  </si>
  <si>
    <t>15@6.asc</t>
  </si>
  <si>
    <t>15@7.asc</t>
  </si>
  <si>
    <t>15@8.asc</t>
  </si>
  <si>
    <t>15@9.asc</t>
  </si>
  <si>
    <t>15@10.asc</t>
  </si>
  <si>
    <t>15@11.asc</t>
  </si>
  <si>
    <t>Distance from edge CDR unit</t>
    <phoneticPr fontId="2" type="noConversion"/>
  </si>
  <si>
    <t>Distance from reaction front CDR unit</t>
    <phoneticPr fontId="2" type="noConversion"/>
  </si>
  <si>
    <t>lenth of 5μm CDR unit</t>
    <phoneticPr fontId="2" type="noConversion"/>
  </si>
  <si>
    <t>d29Si</t>
    <phoneticPr fontId="2" type="noConversion"/>
  </si>
  <si>
    <t>d18O</t>
    <phoneticPr fontId="2" type="noConversion"/>
  </si>
  <si>
    <t>Example for distance from reaction front</t>
    <phoneticPr fontId="2" type="noConversion"/>
  </si>
  <si>
    <t>Example for distance from edge</t>
    <phoneticPr fontId="2" type="noConversion"/>
  </si>
  <si>
    <t>length in μm</t>
  </si>
  <si>
    <t>distance from cube corner</t>
  </si>
  <si>
    <t>distance from cube corner</t>
    <phoneticPr fontId="2" type="noConversion"/>
  </si>
  <si>
    <t>Distance from cube corner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</si>
</sst>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9"/>
      <color theme="1"/>
      <name val="Times New Roman"/>
      <family val="2"/>
      <charset val="134"/>
    </font>
    <font>
      <sz val="12"/>
      <color theme="4"/>
      <name val="Times New Roman"/>
      <family val="1"/>
    </font>
    <font>
      <sz val="9"/>
      <name val="Times New Roman"/>
      <family val="2"/>
      <charset val="134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family val="2"/>
      <charset val="134"/>
    </font>
    <font>
      <sz val="12"/>
      <color rgb="FFFF0000"/>
      <name val="Times New Roman"/>
      <family val="1"/>
    </font>
    <font>
      <sz val="9"/>
      <color rgb="FFFF0000"/>
      <name val="Times New Roman"/>
      <family val="2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3" fillId="0" borderId="6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0" fillId="0" borderId="3" xfId="0" applyBorder="1">
      <alignment vertical="center"/>
    </xf>
    <xf numFmtId="2" fontId="3" fillId="0" borderId="0" xfId="0" applyNumberFormat="1" applyFont="1" applyAlignment="1">
      <alignment horizontal="center" vertical="center"/>
    </xf>
    <xf numFmtId="0" fontId="0" fillId="0" borderId="5" xfId="0" applyBorder="1">
      <alignment vertical="center"/>
    </xf>
    <xf numFmtId="2" fontId="1" fillId="0" borderId="0" xfId="0" applyNumberFormat="1" applyFont="1" applyAlignment="1">
      <alignment horizontal="center" vertical="center"/>
    </xf>
    <xf numFmtId="0" fontId="0" fillId="0" borderId="8" xfId="0" applyBorder="1">
      <alignment vertical="center"/>
    </xf>
    <xf numFmtId="164" fontId="1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2" fontId="3" fillId="0" borderId="7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0" fillId="0" borderId="0" xfId="0" applyNumberFormat="1">
      <alignment vertical="center"/>
    </xf>
    <xf numFmtId="2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7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1504136100798"/>
          <c:y val="2.7726432532347505E-2"/>
          <c:w val="0.8205081026444353"/>
          <c:h val="0.8419673395723871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Distance from reaction front CDR unit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Sheet1!$E$2:$E$14</c:f>
              <c:numCache>
                <c:formatCode>General</c:formatCode>
                <c:ptCount val="13"/>
                <c:pt idx="2">
                  <c:v>16.829999999999998</c:v>
                </c:pt>
                <c:pt idx="3">
                  <c:v>17.86</c:v>
                </c:pt>
                <c:pt idx="9">
                  <c:v>19.239999999999998</c:v>
                </c:pt>
                <c:pt idx="10">
                  <c:v>17.010000000000002</c:v>
                </c:pt>
                <c:pt idx="11">
                  <c:v>14.72</c:v>
                </c:pt>
                <c:pt idx="12">
                  <c:v>8.2899999999999991</c:v>
                </c:pt>
              </c:numCache>
            </c:numRef>
          </c:xVal>
          <c:yVal>
            <c:numRef>
              <c:f>Sheet1!$B$2:$B$14</c:f>
              <c:numCache>
                <c:formatCode>0.00</c:formatCode>
                <c:ptCount val="13"/>
                <c:pt idx="0">
                  <c:v>20051.25235313379</c:v>
                </c:pt>
                <c:pt idx="1">
                  <c:v>159.7043852195761</c:v>
                </c:pt>
                <c:pt idx="2">
                  <c:v>1.3698790409777395</c:v>
                </c:pt>
                <c:pt idx="3">
                  <c:v>0.9472813929625179</c:v>
                </c:pt>
                <c:pt idx="4">
                  <c:v>0.2028976167485208</c:v>
                </c:pt>
                <c:pt idx="5">
                  <c:v>-0.25623151858167326</c:v>
                </c:pt>
                <c:pt idx="6">
                  <c:v>2.3035673760489761</c:v>
                </c:pt>
                <c:pt idx="7">
                  <c:v>245.32213953983239</c:v>
                </c:pt>
                <c:pt idx="8">
                  <c:v>382.85714507232814</c:v>
                </c:pt>
                <c:pt idx="9">
                  <c:v>0.15414133503388605</c:v>
                </c:pt>
                <c:pt idx="10">
                  <c:v>9.7465632704674121</c:v>
                </c:pt>
                <c:pt idx="11">
                  <c:v>14949.084376704164</c:v>
                </c:pt>
                <c:pt idx="12">
                  <c:v>17631.938039757577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5-4B98-88AF-0EEA0D575BE0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Distance from edge CDR unit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Sheet1!$D$2:$D$14</c:f>
              <c:numCache>
                <c:formatCode>General</c:formatCode>
                <c:ptCount val="13"/>
                <c:pt idx="0">
                  <c:v>1.05</c:v>
                </c:pt>
                <c:pt idx="1">
                  <c:v>6.61</c:v>
                </c:pt>
                <c:pt idx="2">
                  <c:v>12.47</c:v>
                </c:pt>
                <c:pt idx="3">
                  <c:v>17.309999999999999</c:v>
                </c:pt>
                <c:pt idx="7">
                  <c:v>4.42</c:v>
                </c:pt>
                <c:pt idx="8">
                  <c:v>6.77</c:v>
                </c:pt>
                <c:pt idx="9">
                  <c:v>6.66</c:v>
                </c:pt>
                <c:pt idx="10">
                  <c:v>11.92</c:v>
                </c:pt>
                <c:pt idx="11">
                  <c:v>6.89</c:v>
                </c:pt>
                <c:pt idx="12">
                  <c:v>2.08</c:v>
                </c:pt>
              </c:numCache>
            </c:numRef>
          </c:xVal>
          <c:yVal>
            <c:numRef>
              <c:f>Sheet1!$B$2:$B$14</c:f>
              <c:numCache>
                <c:formatCode>0.00</c:formatCode>
                <c:ptCount val="13"/>
                <c:pt idx="0">
                  <c:v>20051.25235313379</c:v>
                </c:pt>
                <c:pt idx="1">
                  <c:v>159.7043852195761</c:v>
                </c:pt>
                <c:pt idx="2">
                  <c:v>1.3698790409777395</c:v>
                </c:pt>
                <c:pt idx="3">
                  <c:v>0.9472813929625179</c:v>
                </c:pt>
                <c:pt idx="4">
                  <c:v>0.2028976167485208</c:v>
                </c:pt>
                <c:pt idx="5">
                  <c:v>-0.25623151858167326</c:v>
                </c:pt>
                <c:pt idx="6">
                  <c:v>2.3035673760489761</c:v>
                </c:pt>
                <c:pt idx="7">
                  <c:v>245.32213953983239</c:v>
                </c:pt>
                <c:pt idx="8">
                  <c:v>382.85714507232814</c:v>
                </c:pt>
                <c:pt idx="9">
                  <c:v>0.15414133503388605</c:v>
                </c:pt>
                <c:pt idx="10">
                  <c:v>9.7465632704674121</c:v>
                </c:pt>
                <c:pt idx="11">
                  <c:v>14949.084376704164</c:v>
                </c:pt>
                <c:pt idx="12">
                  <c:v>17631.938039757577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75-4B98-88AF-0EEA0D575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568720"/>
        <c:axId val="1377573520"/>
      </c:scatterChart>
      <c:valAx>
        <c:axId val="137756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Distance CDR unit 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2906231608517681"/>
              <c:y val="0.929736416958970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7573520"/>
        <c:crosses val="autoZero"/>
        <c:crossBetween val="midCat"/>
      </c:valAx>
      <c:valAx>
        <c:axId val="137757352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d29Si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756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37183095506661"/>
          <c:y val="0.15348251371491184"/>
          <c:w val="0.8006559854566162"/>
          <c:h val="0.77159821041787258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Distance from reaction front CDR unit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Sheet1!$E$18:$E$28</c:f>
              <c:numCache>
                <c:formatCode>General</c:formatCode>
                <c:ptCount val="11"/>
                <c:pt idx="0">
                  <c:v>7.57</c:v>
                </c:pt>
                <c:pt idx="1">
                  <c:v>15.15</c:v>
                </c:pt>
                <c:pt idx="2">
                  <c:v>18.78</c:v>
                </c:pt>
                <c:pt idx="3">
                  <c:v>21.38</c:v>
                </c:pt>
              </c:numCache>
            </c:numRef>
          </c:xVal>
          <c:yVal>
            <c:numRef>
              <c:f>Sheet1!$B$18:$B$28</c:f>
              <c:numCache>
                <c:formatCode>0.0</c:formatCode>
                <c:ptCount val="11"/>
                <c:pt idx="0">
                  <c:v>-71.729023648607892</c:v>
                </c:pt>
                <c:pt idx="1">
                  <c:v>-70.353167740872308</c:v>
                </c:pt>
                <c:pt idx="2">
                  <c:v>-26.243407369109573</c:v>
                </c:pt>
                <c:pt idx="3">
                  <c:v>-27.130841972106911</c:v>
                </c:pt>
                <c:pt idx="4">
                  <c:v>-31.596623576262807</c:v>
                </c:pt>
                <c:pt idx="5">
                  <c:v>-29.273643281859663</c:v>
                </c:pt>
                <c:pt idx="6">
                  <c:v>-26.797803371134354</c:v>
                </c:pt>
                <c:pt idx="7">
                  <c:v>-55.102927375492158</c:v>
                </c:pt>
                <c:pt idx="8">
                  <c:v>-29.258967383431255</c:v>
                </c:pt>
                <c:pt idx="9">
                  <c:v>-73.408212387715892</c:v>
                </c:pt>
                <c:pt idx="10">
                  <c:v>-27.488006367900052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CC-48F7-918E-28146BE6E06F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Distance from edge CDR unit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Sheet1!$D$18:$D$28</c:f>
              <c:numCache>
                <c:formatCode>General</c:formatCode>
                <c:ptCount val="11"/>
                <c:pt idx="0">
                  <c:v>2.56</c:v>
                </c:pt>
                <c:pt idx="1">
                  <c:v>5.37</c:v>
                </c:pt>
                <c:pt idx="2">
                  <c:v>12.08</c:v>
                </c:pt>
                <c:pt idx="3">
                  <c:v>9.5299999999999994</c:v>
                </c:pt>
                <c:pt idx="9">
                  <c:v>1.85</c:v>
                </c:pt>
                <c:pt idx="10">
                  <c:v>7.2</c:v>
                </c:pt>
              </c:numCache>
            </c:numRef>
          </c:xVal>
          <c:yVal>
            <c:numRef>
              <c:f>Sheet1!$B$18:$B$28</c:f>
              <c:numCache>
                <c:formatCode>0.0</c:formatCode>
                <c:ptCount val="11"/>
                <c:pt idx="0">
                  <c:v>-71.729023648607892</c:v>
                </c:pt>
                <c:pt idx="1">
                  <c:v>-70.353167740872308</c:v>
                </c:pt>
                <c:pt idx="2">
                  <c:v>-26.243407369109573</c:v>
                </c:pt>
                <c:pt idx="3">
                  <c:v>-27.130841972106911</c:v>
                </c:pt>
                <c:pt idx="4">
                  <c:v>-31.596623576262807</c:v>
                </c:pt>
                <c:pt idx="5">
                  <c:v>-29.273643281859663</c:v>
                </c:pt>
                <c:pt idx="6">
                  <c:v>-26.797803371134354</c:v>
                </c:pt>
                <c:pt idx="7">
                  <c:v>-55.102927375492158</c:v>
                </c:pt>
                <c:pt idx="8">
                  <c:v>-29.258967383431255</c:v>
                </c:pt>
                <c:pt idx="9">
                  <c:v>-73.408212387715892</c:v>
                </c:pt>
                <c:pt idx="10">
                  <c:v>-27.488006367900052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CC-48F7-918E-28146BE6E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7568720"/>
        <c:axId val="1377573520"/>
      </c:scatterChart>
      <c:valAx>
        <c:axId val="137756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Distance CDR unit </a:t>
                </a:r>
                <a:endParaRPr lang="zh-CN" altLang="en-US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332463066595118"/>
              <c:y val="4.3902279205384283E-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7573520"/>
        <c:crosses val="autoZero"/>
        <c:crossBetween val="midCat"/>
      </c:valAx>
      <c:valAx>
        <c:axId val="13775735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d18O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77568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Plots!$B$1</c:f>
              <c:strCache>
                <c:ptCount val="1"/>
                <c:pt idx="0">
                  <c:v>d29Si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Plots!$A$2:$A$11</c:f>
              <c:numCache>
                <c:formatCode>General</c:formatCode>
                <c:ptCount val="10"/>
                <c:pt idx="0">
                  <c:v>153.39506172839504</c:v>
                </c:pt>
                <c:pt idx="1">
                  <c:v>224.38271604938268</c:v>
                </c:pt>
                <c:pt idx="2">
                  <c:v>284.2592592592593</c:v>
                </c:pt>
                <c:pt idx="3">
                  <c:v>357.09876543209879</c:v>
                </c:pt>
                <c:pt idx="4">
                  <c:v>288.42592592592592</c:v>
                </c:pt>
                <c:pt idx="5">
                  <c:v>260.49382716049377</c:v>
                </c:pt>
                <c:pt idx="6">
                  <c:v>222.68518518518519</c:v>
                </c:pt>
                <c:pt idx="7">
                  <c:v>116.35802469135803</c:v>
                </c:pt>
                <c:pt idx="8" formatCode="0.00">
                  <c:v>572.99382716049388</c:v>
                </c:pt>
                <c:pt idx="9" formatCode="0.00">
                  <c:v>595.06172839506178</c:v>
                </c:pt>
              </c:numCache>
            </c:numRef>
          </c:xVal>
          <c:yVal>
            <c:numRef>
              <c:f>Plots!$B$2:$B$11</c:f>
              <c:numCache>
                <c:formatCode>General</c:formatCode>
                <c:ptCount val="10"/>
                <c:pt idx="0">
                  <c:v>20051.25235313379</c:v>
                </c:pt>
                <c:pt idx="1">
                  <c:v>159.7043852195761</c:v>
                </c:pt>
                <c:pt idx="2">
                  <c:v>1.3698790409777395</c:v>
                </c:pt>
                <c:pt idx="3">
                  <c:v>0.9472813929625179</c:v>
                </c:pt>
                <c:pt idx="4">
                  <c:v>0.15414133503388605</c:v>
                </c:pt>
                <c:pt idx="5">
                  <c:v>9.7465632704674121</c:v>
                </c:pt>
                <c:pt idx="6">
                  <c:v>14949.084376704164</c:v>
                </c:pt>
                <c:pt idx="7">
                  <c:v>17631.938039757577</c:v>
                </c:pt>
                <c:pt idx="8" formatCode="0.00">
                  <c:v>0.2028976167485208</c:v>
                </c:pt>
                <c:pt idx="9" formatCode="0.00">
                  <c:v>2.3035673760489761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FD-484C-92BA-EB75889E3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513535"/>
        <c:axId val="1893510175"/>
      </c:scatterChart>
      <c:valAx>
        <c:axId val="1893513535"/>
        <c:scaling>
          <c:orientation val="minMax"/>
          <c:max val="700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from cube corner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510175"/>
        <c:crossesAt val="1.0000000000000002E-2"/>
        <c:crossBetween val="midCat"/>
      </c:valAx>
      <c:valAx>
        <c:axId val="1893510175"/>
        <c:scaling>
          <c:logBase val="10"/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δ</a:t>
                </a:r>
                <a:r>
                  <a:rPr lang="en-US" baseline="30000"/>
                  <a:t>29</a:t>
                </a:r>
                <a:r>
                  <a:rPr lang="en-US"/>
                  <a:t>Si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51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Plots!$H$1</c:f>
              <c:strCache>
                <c:ptCount val="1"/>
                <c:pt idx="0">
                  <c:v>d18O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Plots!$G$2:$G$12</c:f>
              <c:numCache>
                <c:formatCode>General</c:formatCode>
                <c:ptCount val="11"/>
                <c:pt idx="0">
                  <c:v>110.9567901234568</c:v>
                </c:pt>
                <c:pt idx="1">
                  <c:v>225.15432098765433</c:v>
                </c:pt>
                <c:pt idx="2">
                  <c:v>285.64814814814815</c:v>
                </c:pt>
                <c:pt idx="3">
                  <c:v>321.91358024691357</c:v>
                </c:pt>
                <c:pt idx="4">
                  <c:v>173.76543209876542</c:v>
                </c:pt>
                <c:pt idx="5">
                  <c:v>284.2592592592593</c:v>
                </c:pt>
                <c:pt idx="6" formatCode="0.00">
                  <c:v>616.97530864197518</c:v>
                </c:pt>
                <c:pt idx="7" formatCode="0.00">
                  <c:v>666.82098765432102</c:v>
                </c:pt>
                <c:pt idx="8" formatCode="0.00">
                  <c:v>710.18518518518522</c:v>
                </c:pt>
                <c:pt idx="9" formatCode="0.00">
                  <c:v>755.24691358024688</c:v>
                </c:pt>
                <c:pt idx="10" formatCode="0.00">
                  <c:v>793.36419753086398</c:v>
                </c:pt>
              </c:numCache>
            </c:numRef>
          </c:xVal>
          <c:yVal>
            <c:numRef>
              <c:f>Plots!$H$2:$H$12</c:f>
              <c:numCache>
                <c:formatCode>0.0</c:formatCode>
                <c:ptCount val="11"/>
                <c:pt idx="0">
                  <c:v>-46.935335450475677</c:v>
                </c:pt>
                <c:pt idx="1">
                  <c:v>-45.522731068155522</c:v>
                </c:pt>
                <c:pt idx="2">
                  <c:v>-0.23481940973912874</c:v>
                </c:pt>
                <c:pt idx="3">
                  <c:v>-1.1459569803002889</c:v>
                </c:pt>
                <c:pt idx="4">
                  <c:v>-48.659374543719267</c:v>
                </c:pt>
                <c:pt idx="5">
                  <c:v>-1.5126610718184663</c:v>
                </c:pt>
                <c:pt idx="6">
                  <c:v>-5.7310175444530431</c:v>
                </c:pt>
                <c:pt idx="7">
                  <c:v>-3.3459915214025804</c:v>
                </c:pt>
                <c:pt idx="8">
                  <c:v>-0.80402307241755899</c:v>
                </c:pt>
                <c:pt idx="9">
                  <c:v>-29.865163840039788</c:v>
                </c:pt>
                <c:pt idx="10">
                  <c:v>-3.3309236365186567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A-4D9C-A130-50284B4AD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675023"/>
        <c:axId val="1940672143"/>
      </c:scatterChart>
      <c:valAx>
        <c:axId val="19406750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from cube corner (</a:t>
                </a:r>
                <a:r>
                  <a:rPr lang="el-GR"/>
                  <a:t>μ</a:t>
                </a:r>
                <a:r>
                  <a:rPr lang="en-US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672143"/>
        <c:crossesAt val="-80"/>
        <c:crossBetween val="midCat"/>
      </c:valAx>
      <c:valAx>
        <c:axId val="1940672143"/>
        <c:scaling>
          <c:orientation val="minMax"/>
          <c:max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δ</a:t>
                </a:r>
                <a:r>
                  <a:rPr lang="en-US" baseline="30000"/>
                  <a:t>18</a:t>
                </a:r>
                <a:r>
                  <a:rPr lang="en-US"/>
                  <a:t>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675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158346</xdr:colOff>
      <xdr:row>1</xdr:row>
      <xdr:rowOff>117475</xdr:rowOff>
    </xdr:from>
    <xdr:to>
      <xdr:col>24</xdr:col>
      <xdr:colOff>328526</xdr:colOff>
      <xdr:row>16</xdr:row>
      <xdr:rowOff>3059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CAB4B0B-F173-85C5-CBB8-D6B9F7E92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153901</xdr:colOff>
      <xdr:row>16</xdr:row>
      <xdr:rowOff>158865</xdr:rowOff>
    </xdr:from>
    <xdr:to>
      <xdr:col>24</xdr:col>
      <xdr:colOff>315191</xdr:colOff>
      <xdr:row>31</xdr:row>
      <xdr:rowOff>118225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30D4804F-DAEE-427F-BD44-46067FD3C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92365</xdr:colOff>
      <xdr:row>38</xdr:row>
      <xdr:rowOff>14086</xdr:rowOff>
    </xdr:from>
    <xdr:to>
      <xdr:col>6</xdr:col>
      <xdr:colOff>35559</xdr:colOff>
      <xdr:row>60</xdr:row>
      <xdr:rowOff>41474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B246BB2-5F74-98C5-4698-B35F8BCDB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83729" y="6872086"/>
          <a:ext cx="4342128" cy="3339548"/>
        </a:xfrm>
        <a:prstGeom prst="rect">
          <a:avLst/>
        </a:prstGeom>
      </xdr:spPr>
    </xdr:pic>
    <xdr:clientData/>
  </xdr:twoCellAnchor>
  <xdr:twoCellAnchor editAs="oneCell">
    <xdr:from>
      <xdr:col>0</xdr:col>
      <xdr:colOff>60267</xdr:colOff>
      <xdr:row>37</xdr:row>
      <xdr:rowOff>92362</xdr:rowOff>
    </xdr:from>
    <xdr:to>
      <xdr:col>3</xdr:col>
      <xdr:colOff>1375273</xdr:colOff>
      <xdr:row>59</xdr:row>
      <xdr:rowOff>148705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888D78B-EFA7-036D-DD21-94BBF43A5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267" y="6800271"/>
          <a:ext cx="4642637" cy="3348183"/>
        </a:xfrm>
        <a:prstGeom prst="rect">
          <a:avLst/>
        </a:prstGeom>
      </xdr:spPr>
    </xdr:pic>
    <xdr:clientData/>
  </xdr:twoCellAnchor>
  <xdr:twoCellAnchor editAs="oneCell">
    <xdr:from>
      <xdr:col>6</xdr:col>
      <xdr:colOff>415636</xdr:colOff>
      <xdr:row>38</xdr:row>
      <xdr:rowOff>75536</xdr:rowOff>
    </xdr:from>
    <xdr:to>
      <xdr:col>10</xdr:col>
      <xdr:colOff>177882</xdr:colOff>
      <xdr:row>61</xdr:row>
      <xdr:rowOff>4086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ED3A53C5-8F50-C917-9850-3B18FA039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813636" y="6933536"/>
          <a:ext cx="4415064" cy="33806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15</xdr:row>
      <xdr:rowOff>6350</xdr:rowOff>
    </xdr:from>
    <xdr:to>
      <xdr:col>9</xdr:col>
      <xdr:colOff>82550</xdr:colOff>
      <xdr:row>33</xdr:row>
      <xdr:rowOff>123825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E1E264B4-5083-CAAC-11B4-C37EB9262107}"/>
            </a:ext>
          </a:extLst>
        </xdr:cNvPr>
        <xdr:cNvGrpSpPr/>
      </xdr:nvGrpSpPr>
      <xdr:grpSpPr>
        <a:xfrm>
          <a:off x="200025" y="2876550"/>
          <a:ext cx="4575175" cy="2746375"/>
          <a:chOff x="200025" y="2876550"/>
          <a:chExt cx="4575175" cy="2746375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40D694F8-B3DD-2079-EF3E-7511BE683C8C}"/>
              </a:ext>
            </a:extLst>
          </xdr:cNvPr>
          <xdr:cNvGraphicFramePr/>
        </xdr:nvGraphicFramePr>
        <xdr:xfrm>
          <a:off x="200025" y="2876550"/>
          <a:ext cx="4575175" cy="27463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Connector: Elbow 3">
            <a:extLst>
              <a:ext uri="{FF2B5EF4-FFF2-40B4-BE49-F238E27FC236}">
                <a16:creationId xmlns:a16="http://schemas.microsoft.com/office/drawing/2014/main" id="{3495F340-6A56-4FC1-CACB-69DC4BBC9A14}"/>
              </a:ext>
            </a:extLst>
          </xdr:cNvPr>
          <xdr:cNvCxnSpPr/>
        </xdr:nvCxnSpPr>
        <xdr:spPr>
          <a:xfrm>
            <a:off x="1355725" y="3219450"/>
            <a:ext cx="2886075" cy="1187450"/>
          </a:xfrm>
          <a:prstGeom prst="bentConnector3">
            <a:avLst>
              <a:gd name="adj1" fmla="val 37899"/>
            </a:avLst>
          </a:prstGeom>
          <a:ln w="15875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4B6F0C80-4B5D-9A50-E8D0-95C0465721EC}"/>
              </a:ext>
            </a:extLst>
          </xdr:cNvPr>
          <xdr:cNvSpPr txBox="1"/>
        </xdr:nvSpPr>
        <xdr:spPr>
          <a:xfrm>
            <a:off x="1407178" y="3841750"/>
            <a:ext cx="1008226" cy="4680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200"/>
              <a:t>Replacement</a:t>
            </a:r>
          </a:p>
          <a:p>
            <a:pPr algn="ctr"/>
            <a:r>
              <a:rPr lang="en-US" sz="1200"/>
              <a:t>zone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813E234C-F128-5973-FA07-98BB9490EC4D}"/>
              </a:ext>
            </a:extLst>
          </xdr:cNvPr>
          <xdr:cNvSpPr txBox="1"/>
        </xdr:nvSpPr>
        <xdr:spPr>
          <a:xfrm>
            <a:off x="2959100" y="3968750"/>
            <a:ext cx="115146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/>
              <a:t>Metamict ZrSiO</a:t>
            </a:r>
            <a:r>
              <a:rPr lang="en-US" sz="1100" baseline="-25000"/>
              <a:t>4</a:t>
            </a:r>
          </a:p>
        </xdr:txBody>
      </xdr:sp>
      <xdr:sp macro="" textlink="">
        <xdr:nvSpPr>
          <xdr:cNvPr id="17" name="Callout: Bent Line with No Border 16">
            <a:extLst>
              <a:ext uri="{FF2B5EF4-FFF2-40B4-BE49-F238E27FC236}">
                <a16:creationId xmlns:a16="http://schemas.microsoft.com/office/drawing/2014/main" id="{4E5E6D81-176A-3F5F-C14F-BA79743D3247}"/>
              </a:ext>
            </a:extLst>
          </xdr:cNvPr>
          <xdr:cNvSpPr/>
        </xdr:nvSpPr>
        <xdr:spPr>
          <a:xfrm>
            <a:off x="3003550" y="3136900"/>
            <a:ext cx="1092200" cy="349250"/>
          </a:xfrm>
          <a:prstGeom prst="callout2">
            <a:avLst/>
          </a:prstGeom>
          <a:solidFill>
            <a:sysClr val="window" lastClr="FFFFFF"/>
          </a:solidFill>
          <a:ln>
            <a:headEnd type="none"/>
            <a:tailEnd type="arrow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>
                <a:solidFill>
                  <a:sysClr val="windowText" lastClr="000000"/>
                </a:solidFill>
              </a:rPr>
              <a:t>Reaction</a:t>
            </a:r>
            <a:r>
              <a:rPr lang="en-US" sz="1200" baseline="0">
                <a:solidFill>
                  <a:sysClr val="windowText" lastClr="000000"/>
                </a:solidFill>
              </a:rPr>
              <a:t> </a:t>
            </a:r>
            <a:r>
              <a:rPr lang="en-US" sz="1200">
                <a:solidFill>
                  <a:sysClr val="windowText" lastClr="000000"/>
                </a:solidFill>
              </a:rPr>
              <a:t>front</a:t>
            </a:r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</xdr:col>
      <xdr:colOff>346075</xdr:colOff>
      <xdr:row>0</xdr:row>
      <xdr:rowOff>184150</xdr:rowOff>
    </xdr:from>
    <xdr:to>
      <xdr:col>18</xdr:col>
      <xdr:colOff>346075</xdr:colOff>
      <xdr:row>18</xdr:row>
      <xdr:rowOff>139700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2B85B5EB-5387-818D-666B-BE5A7BE53580}"/>
            </a:ext>
          </a:extLst>
        </xdr:cNvPr>
        <xdr:cNvGrpSpPr/>
      </xdr:nvGrpSpPr>
      <xdr:grpSpPr>
        <a:xfrm>
          <a:off x="5038725" y="184150"/>
          <a:ext cx="4572000" cy="3263900"/>
          <a:chOff x="5038725" y="184150"/>
          <a:chExt cx="4572000" cy="326390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0C78B22B-50A7-4E1A-00CE-3C3A4CB25F84}"/>
              </a:ext>
            </a:extLst>
          </xdr:cNvPr>
          <xdr:cNvGraphicFramePr/>
        </xdr:nvGraphicFramePr>
        <xdr:xfrm>
          <a:off x="5038725" y="184150"/>
          <a:ext cx="4572000" cy="3263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cxnSp macro="">
        <xdr:nvCxnSpPr>
          <xdr:cNvPr id="20" name="Connector: Elbow 19">
            <a:extLst>
              <a:ext uri="{FF2B5EF4-FFF2-40B4-BE49-F238E27FC236}">
                <a16:creationId xmlns:a16="http://schemas.microsoft.com/office/drawing/2014/main" id="{C90EF6D1-AA38-5C8E-7AD0-E2BA0A5903FE}"/>
              </a:ext>
            </a:extLst>
          </xdr:cNvPr>
          <xdr:cNvCxnSpPr/>
        </xdr:nvCxnSpPr>
        <xdr:spPr>
          <a:xfrm flipV="1">
            <a:off x="6261100" y="749300"/>
            <a:ext cx="2451100" cy="1549400"/>
          </a:xfrm>
          <a:prstGeom prst="bentConnector3">
            <a:avLst>
              <a:gd name="adj1" fmla="val 23834"/>
            </a:avLst>
          </a:prstGeom>
          <a:ln w="15875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D30DAD4-D9D0-F86B-880D-3056B381A546}"/>
              </a:ext>
            </a:extLst>
          </xdr:cNvPr>
          <xdr:cNvSpPr txBox="1"/>
        </xdr:nvSpPr>
        <xdr:spPr>
          <a:xfrm>
            <a:off x="7480300" y="1079500"/>
            <a:ext cx="1213474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/>
              <a:t>Metamict ZrSiO</a:t>
            </a:r>
            <a:r>
              <a:rPr lang="en-US" sz="1200" baseline="-25000"/>
              <a:t>4</a:t>
            </a: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EEB1510-7AA2-B4F9-037F-84944E08B5D6}"/>
              </a:ext>
            </a:extLst>
          </xdr:cNvPr>
          <xdr:cNvSpPr txBox="1"/>
        </xdr:nvSpPr>
        <xdr:spPr>
          <a:xfrm rot="16200000">
            <a:off x="5943600" y="1041400"/>
            <a:ext cx="1008225" cy="46807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algn="ctr"/>
            <a:r>
              <a:rPr lang="en-US" sz="1200"/>
              <a:t>Replacement</a:t>
            </a:r>
          </a:p>
          <a:p>
            <a:pPr algn="ctr"/>
            <a:r>
              <a:rPr lang="en-US" sz="1200"/>
              <a:t>zone</a:t>
            </a:r>
          </a:p>
        </xdr:txBody>
      </xdr:sp>
      <xdr:sp macro="" textlink="">
        <xdr:nvSpPr>
          <xdr:cNvPr id="24" name="Callout: Bent Line with Accent Bar 23">
            <a:extLst>
              <a:ext uri="{FF2B5EF4-FFF2-40B4-BE49-F238E27FC236}">
                <a16:creationId xmlns:a16="http://schemas.microsoft.com/office/drawing/2014/main" id="{B3FA34CB-CC2B-8C1B-999A-0D0B696F52B1}"/>
              </a:ext>
            </a:extLst>
          </xdr:cNvPr>
          <xdr:cNvSpPr/>
        </xdr:nvSpPr>
        <xdr:spPr>
          <a:xfrm>
            <a:off x="7512050" y="2032000"/>
            <a:ext cx="882650" cy="520700"/>
          </a:xfrm>
          <a:prstGeom prst="accentCallout2">
            <a:avLst>
              <a:gd name="adj1" fmla="val 18750"/>
              <a:gd name="adj2" fmla="val -8333"/>
              <a:gd name="adj3" fmla="val 18750"/>
              <a:gd name="adj4" fmla="val -16667"/>
              <a:gd name="adj5" fmla="val -54573"/>
              <a:gd name="adj6" fmla="val -73286"/>
            </a:avLst>
          </a:prstGeom>
          <a:solidFill>
            <a:sysClr val="window" lastClr="FFFFFF"/>
          </a:solidFill>
          <a:ln>
            <a:tailEnd type="arrow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200">
                <a:solidFill>
                  <a:sysClr val="windowText" lastClr="000000"/>
                </a:solidFill>
              </a:rPr>
              <a:t>Reaction</a:t>
            </a:r>
          </a:p>
          <a:p>
            <a:pPr algn="l"/>
            <a:r>
              <a:rPr lang="en-US" sz="1200">
                <a:solidFill>
                  <a:sysClr val="windowText" lastClr="000000"/>
                </a:solidFill>
              </a:rPr>
              <a:t>front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2793-DA00-4C58-BF75-582244D2F2C9}">
  <dimension ref="A1:I37"/>
  <sheetViews>
    <sheetView zoomScale="84" zoomScaleNormal="84" workbookViewId="0">
      <selection activeCell="A22" sqref="A22:A26"/>
    </sheetView>
  </sheetViews>
  <sheetFormatPr defaultRowHeight="11.5"/>
  <cols>
    <col min="1" max="1" width="37.88671875" customWidth="1"/>
    <col min="2" max="2" width="13" bestFit="1" customWidth="1"/>
    <col min="3" max="3" width="11.44140625" bestFit="1" customWidth="1"/>
    <col min="4" max="4" width="31.109375" bestFit="1" customWidth="1"/>
    <col min="5" max="5" width="41.33203125" bestFit="1" customWidth="1"/>
    <col min="6" max="7" width="41.33203125" customWidth="1"/>
    <col min="8" max="8" width="22.6640625" bestFit="1" customWidth="1"/>
    <col min="9" max="9" width="14.109375" bestFit="1" customWidth="1"/>
  </cols>
  <sheetData>
    <row r="1" spans="1:9" ht="12" thickBot="1">
      <c r="B1" t="s">
        <v>28</v>
      </c>
      <c r="C1" t="s">
        <v>13</v>
      </c>
      <c r="D1" t="s">
        <v>25</v>
      </c>
      <c r="E1" t="s">
        <v>26</v>
      </c>
      <c r="F1" t="s">
        <v>34</v>
      </c>
      <c r="G1" t="s">
        <v>32</v>
      </c>
      <c r="H1" t="s">
        <v>27</v>
      </c>
    </row>
    <row r="2" spans="1:9" ht="15.5">
      <c r="A2" s="1" t="s">
        <v>0</v>
      </c>
      <c r="B2" s="2">
        <v>20051.25235313379</v>
      </c>
      <c r="C2" s="3">
        <v>5171.1216660248792</v>
      </c>
      <c r="D2" s="35">
        <v>1.05</v>
      </c>
      <c r="E2" s="26"/>
      <c r="F2" s="27">
        <v>9.94</v>
      </c>
      <c r="G2" s="28">
        <v>153.39506172839504</v>
      </c>
      <c r="H2" s="14">
        <v>0.32400000000000001</v>
      </c>
      <c r="I2">
        <f>5*F2/H2</f>
        <v>153.39506172839504</v>
      </c>
    </row>
    <row r="3" spans="1:9" ht="15.5">
      <c r="A3" s="4" t="s">
        <v>1</v>
      </c>
      <c r="B3" s="15">
        <v>159.7043852195761</v>
      </c>
      <c r="C3" s="5">
        <v>41.189763712169125</v>
      </c>
      <c r="D3" s="36">
        <v>6.61</v>
      </c>
      <c r="E3" s="31"/>
      <c r="F3" s="15">
        <v>14.54</v>
      </c>
      <c r="G3" s="15">
        <v>224.38271604938268</v>
      </c>
      <c r="H3" s="16">
        <v>0.32400000000000001</v>
      </c>
      <c r="I3">
        <f>5*F3/H3</f>
        <v>224.38271604938268</v>
      </c>
    </row>
    <row r="4" spans="1:9" ht="15.5">
      <c r="A4" s="4" t="s">
        <v>2</v>
      </c>
      <c r="B4" s="15">
        <v>1.3698790409777395</v>
      </c>
      <c r="C4" s="5">
        <v>0.35493963604850343</v>
      </c>
      <c r="D4" s="36">
        <v>12.47</v>
      </c>
      <c r="E4" s="31">
        <v>16.829999999999998</v>
      </c>
      <c r="F4" s="15">
        <v>18.420000000000002</v>
      </c>
      <c r="G4" s="15">
        <v>284.2592592592593</v>
      </c>
      <c r="H4" s="16">
        <v>0.32400000000000001</v>
      </c>
      <c r="I4">
        <f>5*F4/H4</f>
        <v>284.2592592592593</v>
      </c>
    </row>
    <row r="5" spans="1:9" ht="15.5">
      <c r="A5" s="4" t="s">
        <v>3</v>
      </c>
      <c r="B5" s="15">
        <v>0.9472813929625179</v>
      </c>
      <c r="C5" s="5">
        <v>0.24499472027660035</v>
      </c>
      <c r="D5" s="36">
        <v>17.309999999999999</v>
      </c>
      <c r="E5" s="31">
        <v>17.86</v>
      </c>
      <c r="F5" s="15">
        <v>23.14</v>
      </c>
      <c r="G5" s="15">
        <v>357.09876543209879</v>
      </c>
      <c r="H5" s="16">
        <v>0.32400000000000001</v>
      </c>
      <c r="I5">
        <f>5*F5/H5</f>
        <v>357.09876543209879</v>
      </c>
    </row>
    <row r="6" spans="1:9" ht="15.5">
      <c r="A6" s="4" t="s">
        <v>4</v>
      </c>
      <c r="B6" s="15">
        <v>0.2028976167485208</v>
      </c>
      <c r="C6" s="5">
        <v>5.2460055662694863E-2</v>
      </c>
      <c r="D6" s="36"/>
      <c r="E6" s="31"/>
      <c r="F6" s="31"/>
      <c r="G6" s="32"/>
      <c r="H6" s="16">
        <v>0.32400000000000001</v>
      </c>
    </row>
    <row r="7" spans="1:9" ht="15.5">
      <c r="A7" s="4" t="s">
        <v>5</v>
      </c>
      <c r="B7" s="15">
        <v>-0.25623151858167326</v>
      </c>
      <c r="C7" s="5">
        <v>6.6302633332002703E-2</v>
      </c>
      <c r="D7" s="36"/>
      <c r="E7" s="31"/>
      <c r="F7" s="31"/>
      <c r="G7" s="32"/>
      <c r="H7" s="16">
        <v>0.32400000000000001</v>
      </c>
    </row>
    <row r="8" spans="1:9" ht="15.5">
      <c r="A8" s="4" t="s">
        <v>6</v>
      </c>
      <c r="B8" s="15">
        <v>2.3035673760489761</v>
      </c>
      <c r="C8" s="5">
        <v>0.5971036007911158</v>
      </c>
      <c r="D8" s="36"/>
      <c r="E8" s="31"/>
      <c r="F8" s="31"/>
      <c r="G8" s="32"/>
      <c r="H8" s="16">
        <v>0.32400000000000001</v>
      </c>
    </row>
    <row r="9" spans="1:9" ht="15.5">
      <c r="A9" s="4" t="s">
        <v>7</v>
      </c>
      <c r="B9" s="15">
        <v>245.32213953983239</v>
      </c>
      <c r="C9" s="5">
        <v>63.322554761927236</v>
      </c>
      <c r="D9" s="36">
        <v>4.42</v>
      </c>
      <c r="E9" s="31"/>
      <c r="F9" s="31"/>
      <c r="G9" s="32"/>
      <c r="H9" s="16">
        <v>0.32400000000000001</v>
      </c>
    </row>
    <row r="10" spans="1:9" ht="15.5">
      <c r="A10" s="4" t="s">
        <v>8</v>
      </c>
      <c r="B10" s="15">
        <v>382.85714507232814</v>
      </c>
      <c r="C10" s="5">
        <v>98.740180068156775</v>
      </c>
      <c r="D10" s="36">
        <v>6.77</v>
      </c>
      <c r="E10" s="31"/>
      <c r="F10" s="31"/>
      <c r="G10" s="32"/>
      <c r="H10" s="16">
        <v>0.32400000000000001</v>
      </c>
    </row>
    <row r="11" spans="1:9" ht="15.5">
      <c r="A11" s="4" t="s">
        <v>9</v>
      </c>
      <c r="B11" s="15">
        <v>0.15414133503388605</v>
      </c>
      <c r="C11" s="5">
        <v>3.9870462271725318E-2</v>
      </c>
      <c r="D11" s="36">
        <v>6.66</v>
      </c>
      <c r="E11" s="31">
        <v>19.239999999999998</v>
      </c>
      <c r="F11" s="15">
        <v>18.690000000000001</v>
      </c>
      <c r="G11" s="15">
        <v>288.42592592592592</v>
      </c>
      <c r="H11" s="16">
        <v>0.32400000000000001</v>
      </c>
      <c r="I11">
        <f>5*F11/H11</f>
        <v>288.42592592592592</v>
      </c>
    </row>
    <row r="12" spans="1:9" ht="15.5">
      <c r="A12" s="4" t="s">
        <v>10</v>
      </c>
      <c r="B12" s="15">
        <v>9.7465632704674121</v>
      </c>
      <c r="C12" s="5">
        <v>2.587536343938154</v>
      </c>
      <c r="D12" s="36">
        <v>11.92</v>
      </c>
      <c r="E12" s="31">
        <v>17.010000000000002</v>
      </c>
      <c r="F12" s="15">
        <v>16.88</v>
      </c>
      <c r="G12" s="15">
        <v>260.49382716049377</v>
      </c>
      <c r="H12" s="16">
        <v>0.32400000000000001</v>
      </c>
      <c r="I12">
        <f>5*F12/H12</f>
        <v>260.49382716049377</v>
      </c>
    </row>
    <row r="13" spans="1:9" ht="15.5">
      <c r="A13" s="6" t="s">
        <v>11</v>
      </c>
      <c r="B13" s="17">
        <v>14949.084376704164</v>
      </c>
      <c r="C13" s="7">
        <v>3855.3890606469909</v>
      </c>
      <c r="D13" s="36">
        <v>6.89</v>
      </c>
      <c r="E13" s="31">
        <v>14.72</v>
      </c>
      <c r="F13" s="15">
        <v>14.43</v>
      </c>
      <c r="G13" s="15">
        <v>222.68518518518519</v>
      </c>
      <c r="H13" s="16">
        <v>0.32400000000000001</v>
      </c>
      <c r="I13">
        <f>5*F13/H13</f>
        <v>222.68518518518519</v>
      </c>
    </row>
    <row r="14" spans="1:9" ht="16" thickBot="1">
      <c r="A14" s="8" t="s">
        <v>12</v>
      </c>
      <c r="B14" s="9">
        <v>17631.938039757577</v>
      </c>
      <c r="C14" s="10">
        <v>4547.1932664181277</v>
      </c>
      <c r="D14" s="37">
        <v>2.08</v>
      </c>
      <c r="E14" s="33">
        <v>8.2899999999999991</v>
      </c>
      <c r="F14" s="25">
        <v>7.54</v>
      </c>
      <c r="G14" s="25">
        <v>116.35802469135803</v>
      </c>
      <c r="H14" s="18">
        <v>0.32400000000000001</v>
      </c>
      <c r="I14">
        <f>5*F14/H14</f>
        <v>116.35802469135803</v>
      </c>
    </row>
    <row r="15" spans="1:9">
      <c r="G15" s="29"/>
    </row>
    <row r="16" spans="1:9">
      <c r="G16" s="29"/>
    </row>
    <row r="17" spans="1:9" ht="12" thickBot="1">
      <c r="B17" t="s">
        <v>29</v>
      </c>
      <c r="C17" t="s">
        <v>13</v>
      </c>
      <c r="G17" s="29"/>
    </row>
    <row r="18" spans="1:9" ht="15.5">
      <c r="A18" s="1" t="s">
        <v>14</v>
      </c>
      <c r="B18" s="12">
        <v>-71.729023648607892</v>
      </c>
      <c r="C18" s="21">
        <v>3.7025908457585541</v>
      </c>
      <c r="D18" s="26">
        <v>2.56</v>
      </c>
      <c r="E18" s="26">
        <v>7.57</v>
      </c>
      <c r="F18" s="26">
        <v>7.19</v>
      </c>
      <c r="G18" s="30">
        <v>110.9567901234568</v>
      </c>
      <c r="H18" s="14">
        <v>0.32400000000000001</v>
      </c>
      <c r="I18">
        <f>5*F18/H18</f>
        <v>110.9567901234568</v>
      </c>
    </row>
    <row r="19" spans="1:9" ht="15.5">
      <c r="A19" s="6" t="s">
        <v>15</v>
      </c>
      <c r="B19" s="19">
        <v>-70.353167740872308</v>
      </c>
      <c r="C19" s="22">
        <v>3.5903977747660401</v>
      </c>
      <c r="D19" s="31">
        <v>5.37</v>
      </c>
      <c r="E19" s="31">
        <v>15.15</v>
      </c>
      <c r="F19" s="31">
        <v>14.59</v>
      </c>
      <c r="G19" s="32">
        <v>225.15432098765433</v>
      </c>
      <c r="H19" s="16">
        <v>0.32400000000000001</v>
      </c>
      <c r="I19">
        <f>5*F19/H19</f>
        <v>225.15432098765433</v>
      </c>
    </row>
    <row r="20" spans="1:9" ht="15.5">
      <c r="A20" s="4" t="s">
        <v>16</v>
      </c>
      <c r="B20" s="20">
        <v>-26.243407369109573</v>
      </c>
      <c r="C20" s="23">
        <v>1.8716742542420516E-2</v>
      </c>
      <c r="D20" s="31">
        <v>12.08</v>
      </c>
      <c r="E20" s="31">
        <v>18.78</v>
      </c>
      <c r="F20" s="31">
        <v>18.510000000000002</v>
      </c>
      <c r="G20" s="32">
        <v>285.64814814814815</v>
      </c>
      <c r="H20" s="16">
        <v>0.32400000000000001</v>
      </c>
      <c r="I20">
        <f>5*F20/H20</f>
        <v>285.64814814814815</v>
      </c>
    </row>
    <row r="21" spans="1:9" ht="15.5">
      <c r="A21" s="4" t="s">
        <v>17</v>
      </c>
      <c r="B21" s="20">
        <v>-27.130841972106911</v>
      </c>
      <c r="C21" s="23">
        <v>9.1698688885603605E-2</v>
      </c>
      <c r="D21" s="31">
        <v>9.5299999999999994</v>
      </c>
      <c r="E21" s="31">
        <v>21.38</v>
      </c>
      <c r="F21" s="31">
        <v>20.86</v>
      </c>
      <c r="G21" s="32">
        <v>321.91358024691357</v>
      </c>
      <c r="H21" s="16">
        <v>0.32400000000000001</v>
      </c>
      <c r="I21">
        <f>5*F21/H21</f>
        <v>321.91358024691357</v>
      </c>
    </row>
    <row r="22" spans="1:9" ht="15.5">
      <c r="A22" s="4" t="s">
        <v>18</v>
      </c>
      <c r="B22" s="20">
        <v>-31.596623576262807</v>
      </c>
      <c r="C22" s="23">
        <v>0.45657699604669172</v>
      </c>
      <c r="D22" s="31"/>
      <c r="E22" s="31"/>
      <c r="F22" s="31"/>
      <c r="G22" s="32"/>
      <c r="H22" s="16">
        <v>0.32400000000000001</v>
      </c>
    </row>
    <row r="23" spans="1:9" ht="15.5">
      <c r="A23" s="4" t="s">
        <v>19</v>
      </c>
      <c r="B23" s="20">
        <v>-29.273643281859663</v>
      </c>
      <c r="C23" s="23">
        <v>0.26830220622057588</v>
      </c>
      <c r="D23" s="31"/>
      <c r="E23" s="31"/>
      <c r="F23" s="31"/>
      <c r="G23" s="32"/>
      <c r="H23" s="16">
        <v>0.32400000000000001</v>
      </c>
    </row>
    <row r="24" spans="1:9" ht="15.5">
      <c r="A24" s="4" t="s">
        <v>20</v>
      </c>
      <c r="B24" s="20">
        <v>-26.797803371134354</v>
      </c>
      <c r="C24" s="23">
        <v>6.583859067259018E-2</v>
      </c>
      <c r="D24" s="31"/>
      <c r="E24" s="31"/>
      <c r="F24" s="31"/>
      <c r="G24" s="32"/>
      <c r="H24" s="16">
        <v>0.32400000000000001</v>
      </c>
    </row>
    <row r="25" spans="1:9" ht="15.5">
      <c r="A25" s="6" t="s">
        <v>21</v>
      </c>
      <c r="B25" s="19">
        <v>-55.102927375492158</v>
      </c>
      <c r="C25" s="22">
        <v>2.3623411285781244</v>
      </c>
      <c r="D25" s="31"/>
      <c r="E25" s="31"/>
      <c r="F25" s="31"/>
      <c r="G25" s="32"/>
      <c r="H25" s="16">
        <v>0.32400000000000001</v>
      </c>
    </row>
    <row r="26" spans="1:9" ht="15.5">
      <c r="A26" s="4" t="s">
        <v>22</v>
      </c>
      <c r="B26" s="20">
        <v>-29.258967383431255</v>
      </c>
      <c r="C26" s="23">
        <v>0.26703271874781842</v>
      </c>
      <c r="D26" s="31"/>
      <c r="E26" s="31"/>
      <c r="F26" s="31"/>
      <c r="G26" s="32"/>
      <c r="H26" s="16">
        <v>0.32400000000000001</v>
      </c>
    </row>
    <row r="27" spans="1:9" ht="15.5">
      <c r="A27" s="6" t="s">
        <v>23</v>
      </c>
      <c r="B27" s="19">
        <v>-73.408212387715892</v>
      </c>
      <c r="C27" s="22">
        <v>3.8371214837071084</v>
      </c>
      <c r="D27" s="31">
        <v>1.85</v>
      </c>
      <c r="E27" s="31"/>
      <c r="F27" s="31">
        <v>11.26</v>
      </c>
      <c r="G27" s="32">
        <v>173.76543209876542</v>
      </c>
      <c r="H27" s="16">
        <v>0.32400000000000001</v>
      </c>
      <c r="I27">
        <f>5*F27/H27</f>
        <v>173.76543209876542</v>
      </c>
    </row>
    <row r="28" spans="1:9" ht="16" thickBot="1">
      <c r="A28" s="11" t="s">
        <v>24</v>
      </c>
      <c r="B28" s="13">
        <v>-27.488006367900052</v>
      </c>
      <c r="C28" s="24">
        <v>0.12145484897914476</v>
      </c>
      <c r="D28" s="33">
        <v>7.2</v>
      </c>
      <c r="E28" s="33"/>
      <c r="F28" s="33">
        <v>18.420000000000002</v>
      </c>
      <c r="G28" s="34">
        <v>284.2592592592593</v>
      </c>
      <c r="H28" s="18">
        <v>0.32400000000000001</v>
      </c>
      <c r="I28">
        <f>5*F28/H28</f>
        <v>284.2592592592593</v>
      </c>
    </row>
    <row r="37" spans="1:7">
      <c r="A37" t="s">
        <v>31</v>
      </c>
      <c r="E37" t="s">
        <v>30</v>
      </c>
      <c r="G37" t="s">
        <v>33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4D2E-1F1E-46F2-BBC3-57AB5D4B471C}">
  <dimension ref="A1:K13"/>
  <sheetViews>
    <sheetView tabSelected="1" topLeftCell="D1" workbookViewId="0">
      <selection activeCell="L21" sqref="L21"/>
    </sheetView>
  </sheetViews>
  <sheetFormatPr defaultRowHeight="11.5"/>
  <cols>
    <col min="2" max="2" width="11" bestFit="1" customWidth="1"/>
  </cols>
  <sheetData>
    <row r="1" spans="1:11" ht="16" thickBot="1">
      <c r="A1" t="s">
        <v>35</v>
      </c>
      <c r="B1" t="s">
        <v>28</v>
      </c>
      <c r="G1" t="s">
        <v>35</v>
      </c>
      <c r="H1" t="s">
        <v>29</v>
      </c>
      <c r="J1" s="12"/>
    </row>
    <row r="2" spans="1:11" ht="15.5">
      <c r="A2">
        <v>153.39506172839504</v>
      </c>
      <c r="B2">
        <v>20051.25235313379</v>
      </c>
      <c r="F2" s="1" t="s">
        <v>14</v>
      </c>
      <c r="G2">
        <v>110.9567901234568</v>
      </c>
      <c r="H2" s="12">
        <v>-46.935335450475677</v>
      </c>
      <c r="J2" s="19"/>
    </row>
    <row r="3" spans="1:11" ht="15.5">
      <c r="A3">
        <v>224.38271604938268</v>
      </c>
      <c r="B3">
        <v>159.7043852195761</v>
      </c>
      <c r="F3" s="6" t="s">
        <v>15</v>
      </c>
      <c r="G3">
        <v>225.15432098765433</v>
      </c>
      <c r="H3" s="19">
        <v>-45.522731068155522</v>
      </c>
      <c r="J3" s="20"/>
    </row>
    <row r="4" spans="1:11" ht="15.5">
      <c r="A4">
        <v>284.2592592592593</v>
      </c>
      <c r="B4">
        <v>1.3698790409777395</v>
      </c>
      <c r="F4" s="4" t="s">
        <v>16</v>
      </c>
      <c r="G4">
        <v>285.64814814814815</v>
      </c>
      <c r="H4" s="38">
        <v>-0.23481940973912874</v>
      </c>
      <c r="J4" s="20"/>
    </row>
    <row r="5" spans="1:11" ht="15.5">
      <c r="A5">
        <v>357.09876543209879</v>
      </c>
      <c r="B5">
        <v>0.9472813929625179</v>
      </c>
      <c r="F5" s="4" t="s">
        <v>17</v>
      </c>
      <c r="G5">
        <v>321.91358024691357</v>
      </c>
      <c r="H5" s="38">
        <v>-1.1459569803002889</v>
      </c>
      <c r="J5" s="20"/>
      <c r="K5" s="38"/>
    </row>
    <row r="6" spans="1:11" ht="15.5">
      <c r="A6">
        <v>288.42592592592592</v>
      </c>
      <c r="B6">
        <v>0.15414133503388605</v>
      </c>
      <c r="F6" s="6" t="s">
        <v>23</v>
      </c>
      <c r="G6">
        <v>173.76543209876542</v>
      </c>
      <c r="H6" s="19">
        <v>-48.659374543719267</v>
      </c>
      <c r="J6" s="20"/>
      <c r="K6" s="38"/>
    </row>
    <row r="7" spans="1:11" ht="16" thickBot="1">
      <c r="A7">
        <v>260.49382716049377</v>
      </c>
      <c r="B7">
        <v>9.7465632704674121</v>
      </c>
      <c r="F7" s="11" t="s">
        <v>24</v>
      </c>
      <c r="G7">
        <v>284.2592592592593</v>
      </c>
      <c r="H7" s="39">
        <v>-1.5126610718184663</v>
      </c>
      <c r="J7" s="20"/>
      <c r="K7" s="38"/>
    </row>
    <row r="8" spans="1:11" ht="15.5">
      <c r="A8">
        <v>222.68518518518519</v>
      </c>
      <c r="B8">
        <v>14949.084376704164</v>
      </c>
      <c r="F8" s="4" t="s">
        <v>18</v>
      </c>
      <c r="G8" s="41">
        <v>616.97530864197518</v>
      </c>
      <c r="H8" s="38">
        <v>-5.7310175444530431</v>
      </c>
      <c r="J8" s="19"/>
      <c r="K8" s="19"/>
    </row>
    <row r="9" spans="1:11" ht="15.5">
      <c r="A9">
        <v>116.35802469135803</v>
      </c>
      <c r="B9">
        <v>17631.938039757577</v>
      </c>
      <c r="F9" s="4" t="s">
        <v>19</v>
      </c>
      <c r="G9" s="41">
        <v>666.82098765432102</v>
      </c>
      <c r="H9" s="38">
        <v>-3.3459915214025804</v>
      </c>
      <c r="J9" s="20"/>
      <c r="K9" s="38"/>
    </row>
    <row r="10" spans="1:11" ht="15.5">
      <c r="A10" s="40">
        <v>572.99382716049388</v>
      </c>
      <c r="B10" s="15">
        <v>0.2028976167485208</v>
      </c>
      <c r="F10" s="4" t="s">
        <v>20</v>
      </c>
      <c r="G10" s="32">
        <v>710.18518518518522</v>
      </c>
      <c r="H10" s="38">
        <v>-0.80402307241755899</v>
      </c>
      <c r="J10" s="19"/>
    </row>
    <row r="11" spans="1:11" ht="16" thickBot="1">
      <c r="A11" s="40">
        <v>595.06172839506178</v>
      </c>
      <c r="B11" s="15">
        <v>2.3035673760489761</v>
      </c>
      <c r="F11" s="6" t="s">
        <v>21</v>
      </c>
      <c r="G11" s="41">
        <v>755.24691358024688</v>
      </c>
      <c r="H11" s="19">
        <v>-29.865163840039788</v>
      </c>
      <c r="J11" s="13"/>
    </row>
    <row r="12" spans="1:11" ht="15.5">
      <c r="A12" s="40">
        <v>751.23456790123453</v>
      </c>
      <c r="B12" s="15">
        <v>245.32213953983239</v>
      </c>
      <c r="F12" s="4" t="s">
        <v>22</v>
      </c>
      <c r="G12" s="41">
        <v>793.36419753086398</v>
      </c>
      <c r="H12" s="38">
        <v>-3.3309236365186567</v>
      </c>
    </row>
    <row r="13" spans="1:11" ht="15.5">
      <c r="A13" s="40">
        <v>654.78395061728395</v>
      </c>
      <c r="B13" s="15">
        <v>382.85714507232814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CUG</dc:creator>
  <cp:lastModifiedBy>John Ayers</cp:lastModifiedBy>
  <dcterms:created xsi:type="dcterms:W3CDTF">2025-11-27T07:39:12Z</dcterms:created>
  <dcterms:modified xsi:type="dcterms:W3CDTF">2025-12-20T16:51:53Z</dcterms:modified>
</cp:coreProperties>
</file>