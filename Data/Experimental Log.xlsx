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Experiments/"/>
    </mc:Choice>
  </mc:AlternateContent>
  <xr:revisionPtr revIDLastSave="2351" documentId="11_AFA7C69E9DF3F3EE5412B747A07DF3129240276E" xr6:coauthVersionLast="47" xr6:coauthVersionMax="47" xr10:uidLastSave="{44053E39-8F3C-4EFC-9123-6FB796ED0733}"/>
  <bookViews>
    <workbookView xWindow="28680" yWindow="-120" windowWidth="29040" windowHeight="15720" activeTab="1" xr2:uid="{00000000-000D-0000-FFFF-FFFF00000000}"/>
  </bookViews>
  <sheets>
    <sheet name="Experimental Log" sheetId="1" r:id="rId1"/>
    <sheet name="Sheet1" sheetId="5" r:id="rId2"/>
    <sheet name="Expt datasheet" sheetId="4" r:id="rId3"/>
    <sheet name="Planned Experiments " sheetId="2" r:id="rId4"/>
    <sheet name="Experimental Log (2)" sheetId="3" r:id="rId5"/>
  </sheets>
  <definedNames>
    <definedName name="_xlnm._FilterDatabase" localSheetId="3" hidden="1">'Planned Experiments '!$A$1:$I$13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5" l="1"/>
  <c r="B37" i="5"/>
  <c r="C37" i="5"/>
  <c r="A35" i="5"/>
  <c r="A4" i="5"/>
  <c r="B4" i="5"/>
  <c r="C4" i="5" s="1"/>
  <c r="A5" i="5"/>
  <c r="B5" i="5"/>
  <c r="C5" i="5" s="1"/>
  <c r="A6" i="5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 s="1"/>
  <c r="A25" i="5"/>
  <c r="C3" i="5"/>
  <c r="B3" i="5"/>
  <c r="A3" i="5"/>
  <c r="C2" i="5"/>
  <c r="A2" i="5"/>
  <c r="O41" i="4"/>
  <c r="K42" i="4"/>
  <c r="O42" i="4"/>
  <c r="U41" i="4"/>
  <c r="S41" i="4"/>
  <c r="Q41" i="4"/>
  <c r="Q42" i="4"/>
  <c r="U38" i="4"/>
  <c r="S38" i="4"/>
  <c r="U31" i="4"/>
  <c r="O13" i="4"/>
  <c r="O15" i="4"/>
  <c r="Q13" i="4"/>
  <c r="Q15" i="4"/>
  <c r="Y5" i="4"/>
  <c r="W5" i="4"/>
  <c r="O38" i="4"/>
  <c r="Q38" i="4"/>
  <c r="O31" i="4"/>
  <c r="Q31" i="4"/>
  <c r="T19" i="4"/>
  <c r="U35" i="4"/>
  <c r="S35" i="4"/>
  <c r="S31" i="4"/>
  <c r="U30" i="4"/>
  <c r="S30" i="4"/>
  <c r="T25" i="4"/>
  <c r="R25" i="4"/>
  <c r="U22" i="4"/>
  <c r="T22" i="4"/>
  <c r="S22" i="4"/>
  <c r="U20" i="4"/>
  <c r="U24" i="4" s="1"/>
  <c r="S20" i="4"/>
  <c r="S24" i="4" s="1"/>
  <c r="U18" i="4"/>
  <c r="S18" i="4"/>
  <c r="S23" i="4" s="1"/>
  <c r="T17" i="4"/>
  <c r="R17" i="4"/>
  <c r="U15" i="4"/>
  <c r="S15" i="4"/>
  <c r="U13" i="4"/>
  <c r="S13" i="4"/>
  <c r="U5" i="4"/>
  <c r="S5" i="4"/>
  <c r="N25" i="4"/>
  <c r="P25" i="4"/>
  <c r="Q22" i="4"/>
  <c r="O22" i="4"/>
  <c r="N19" i="4"/>
  <c r="Q24" i="4"/>
  <c r="Q18" i="4"/>
  <c r="Q20" i="4"/>
  <c r="O20" i="4"/>
  <c r="C21" i="4"/>
  <c r="O24" i="4"/>
  <c r="K20" i="4"/>
  <c r="K22" i="4"/>
  <c r="P22" i="4"/>
  <c r="O30" i="4"/>
  <c r="Q30" i="4"/>
  <c r="O35" i="4"/>
  <c r="Q35" i="4"/>
  <c r="N50" i="4"/>
  <c r="N17" i="4"/>
  <c r="P17" i="4"/>
  <c r="B35" i="5" l="1"/>
  <c r="C35" i="5" s="1"/>
  <c r="A36" i="5"/>
  <c r="B36" i="5" s="1"/>
  <c r="C36" i="5" s="1"/>
  <c r="B25" i="5"/>
  <c r="C25" i="5" s="1"/>
  <c r="A26" i="5"/>
  <c r="S44" i="4"/>
  <c r="S36" i="4"/>
  <c r="U23" i="4"/>
  <c r="S42" i="4"/>
  <c r="U42" i="4"/>
  <c r="Q23" i="4"/>
  <c r="C54" i="4"/>
  <c r="G54" i="4"/>
  <c r="K54" i="4"/>
  <c r="I54" i="4"/>
  <c r="E54" i="4"/>
  <c r="K50" i="4"/>
  <c r="I50" i="4"/>
  <c r="G50" i="4"/>
  <c r="E50" i="4"/>
  <c r="C50" i="4"/>
  <c r="B26" i="5" l="1"/>
  <c r="C26" i="5" s="1"/>
  <c r="A27" i="5"/>
  <c r="U44" i="4"/>
  <c r="U36" i="4"/>
  <c r="L31" i="4"/>
  <c r="J31" i="4"/>
  <c r="H31" i="4"/>
  <c r="F31" i="4"/>
  <c r="D31" i="4"/>
  <c r="L24" i="4"/>
  <c r="J24" i="4"/>
  <c r="H24" i="4"/>
  <c r="F24" i="4"/>
  <c r="D24" i="4"/>
  <c r="C20" i="4"/>
  <c r="C56" i="4" s="1"/>
  <c r="C58" i="4" s="1"/>
  <c r="E20" i="4"/>
  <c r="E56" i="4" s="1"/>
  <c r="L32" i="4"/>
  <c r="J32" i="4"/>
  <c r="H32" i="4"/>
  <c r="F32" i="4"/>
  <c r="D32" i="4"/>
  <c r="O5" i="4"/>
  <c r="Q5" i="4"/>
  <c r="O18" i="4"/>
  <c r="K33" i="4"/>
  <c r="K18" i="4"/>
  <c r="K39" i="4"/>
  <c r="K36" i="4"/>
  <c r="K29" i="4"/>
  <c r="K43" i="4" s="1"/>
  <c r="K28" i="4"/>
  <c r="K56" i="4"/>
  <c r="K15" i="4"/>
  <c r="K13" i="4"/>
  <c r="K5" i="4"/>
  <c r="S10" i="1"/>
  <c r="I20" i="4"/>
  <c r="I15" i="4"/>
  <c r="I13" i="4"/>
  <c r="G13" i="4"/>
  <c r="G15" i="4"/>
  <c r="E33" i="4"/>
  <c r="I39" i="4"/>
  <c r="I55" i="4" s="1"/>
  <c r="I36" i="4"/>
  <c r="I57" i="4" s="1"/>
  <c r="I33" i="4"/>
  <c r="I29" i="4"/>
  <c r="I28" i="4"/>
  <c r="I5" i="4"/>
  <c r="G39" i="4"/>
  <c r="G36" i="4"/>
  <c r="G33" i="4"/>
  <c r="G29" i="4"/>
  <c r="G28" i="4"/>
  <c r="G20" i="4"/>
  <c r="G56" i="4" s="1"/>
  <c r="G18" i="4"/>
  <c r="G5" i="4"/>
  <c r="C33" i="4"/>
  <c r="C29" i="4"/>
  <c r="C28" i="4"/>
  <c r="E39" i="4"/>
  <c r="E55" i="4" s="1"/>
  <c r="E58" i="4" s="1"/>
  <c r="E36" i="4"/>
  <c r="E28" i="4"/>
  <c r="C18" i="4"/>
  <c r="E13" i="4"/>
  <c r="E15" i="4" s="1"/>
  <c r="S12" i="1"/>
  <c r="E5" i="4"/>
  <c r="T10" i="1"/>
  <c r="T18" i="1"/>
  <c r="T19" i="1"/>
  <c r="T17" i="1"/>
  <c r="H28" i="1"/>
  <c r="C39" i="4"/>
  <c r="C36" i="4"/>
  <c r="C13" i="4"/>
  <c r="C15" i="4" s="1"/>
  <c r="C5" i="4"/>
  <c r="A28" i="5" l="1"/>
  <c r="B27" i="5"/>
  <c r="C27" i="5" s="1"/>
  <c r="O23" i="4"/>
  <c r="P19" i="4"/>
  <c r="G55" i="4"/>
  <c r="G58" i="4" s="1"/>
  <c r="I58" i="4"/>
  <c r="K55" i="4"/>
  <c r="K58" i="4" s="1"/>
  <c r="C43" i="4"/>
  <c r="I43" i="4"/>
  <c r="G43" i="4"/>
  <c r="K21" i="4"/>
  <c r="E21" i="4"/>
  <c r="E43" i="4" s="1"/>
  <c r="I21" i="4"/>
  <c r="I40" i="4" s="1"/>
  <c r="G21" i="4"/>
  <c r="G42" i="4" s="1"/>
  <c r="C42" i="4"/>
  <c r="C40" i="4"/>
  <c r="E22" i="4"/>
  <c r="I22" i="4"/>
  <c r="G22" i="4"/>
  <c r="C22" i="4"/>
  <c r="S19" i="1"/>
  <c r="S18" i="1"/>
  <c r="S17" i="1"/>
  <c r="S14" i="1"/>
  <c r="S9" i="1"/>
  <c r="P4" i="3"/>
  <c r="P5" i="3"/>
  <c r="P7" i="3"/>
  <c r="P9" i="3"/>
  <c r="P10" i="3"/>
  <c r="P11" i="3"/>
  <c r="P3" i="3"/>
  <c r="M11" i="3"/>
  <c r="M10" i="3"/>
  <c r="M9" i="3"/>
  <c r="M3" i="3"/>
  <c r="M4" i="3"/>
  <c r="M2" i="3"/>
  <c r="A29" i="5" l="1"/>
  <c r="B28" i="5"/>
  <c r="C28" i="5" s="1"/>
  <c r="O36" i="4"/>
  <c r="O44" i="4"/>
  <c r="G40" i="4"/>
  <c r="K40" i="4"/>
  <c r="K34" i="4"/>
  <c r="E40" i="4"/>
  <c r="E34" i="4"/>
  <c r="E42" i="4"/>
  <c r="I34" i="4"/>
  <c r="G34" i="4"/>
  <c r="C34" i="4"/>
  <c r="B3" i="3"/>
  <c r="I16" i="3"/>
  <c r="G16" i="3"/>
  <c r="I15" i="3"/>
  <c r="G15" i="3"/>
  <c r="L14" i="3"/>
  <c r="I14" i="3"/>
  <c r="L13" i="3"/>
  <c r="K13" i="3"/>
  <c r="M13" i="3" s="1"/>
  <c r="I13" i="3"/>
  <c r="L12" i="3"/>
  <c r="I12" i="3"/>
  <c r="I8" i="3"/>
  <c r="I7" i="3"/>
  <c r="I6" i="3"/>
  <c r="I5" i="3"/>
  <c r="B29" i="5" l="1"/>
  <c r="C29" i="5" s="1"/>
  <c r="A30" i="5"/>
  <c r="Q36" i="4"/>
  <c r="Q44" i="4"/>
  <c r="N25" i="1"/>
  <c r="L25" i="1"/>
  <c r="N24" i="1"/>
  <c r="L24" i="1"/>
  <c r="N23" i="1"/>
  <c r="L23" i="1"/>
  <c r="O7" i="1"/>
  <c r="N7" i="1"/>
  <c r="Q6" i="1"/>
  <c r="N6" i="1"/>
  <c r="N5" i="1"/>
  <c r="Q5" i="1"/>
  <c r="O4" i="1"/>
  <c r="N4" i="1"/>
  <c r="Q4" i="1"/>
  <c r="N16" i="1"/>
  <c r="N15" i="1"/>
  <c r="N14" i="1"/>
  <c r="N13" i="1"/>
  <c r="N12" i="1"/>
  <c r="N21" i="1"/>
  <c r="N20" i="1"/>
  <c r="P21" i="1"/>
  <c r="N22" i="1"/>
  <c r="Q22" i="1"/>
  <c r="Q21" i="1"/>
  <c r="Q20" i="1"/>
  <c r="A31" i="5" l="1"/>
  <c r="B30" i="5"/>
  <c r="C30" i="5" s="1"/>
  <c r="B31" i="5" l="1"/>
  <c r="C31" i="5" s="1"/>
  <c r="A32" i="5"/>
  <c r="A33" i="5" l="1"/>
  <c r="B32" i="5"/>
  <c r="C32" i="5" s="1"/>
  <c r="A34" i="5" l="1"/>
  <c r="B34" i="5" s="1"/>
  <c r="C34" i="5" s="1"/>
  <c r="B33" i="5"/>
  <c r="C33" i="5" s="1"/>
</calcChain>
</file>

<file path=xl/sharedStrings.xml><?xml version="1.0" encoding="utf-8"?>
<sst xmlns="http://schemas.openxmlformats.org/spreadsheetml/2006/main" count="507" uniqueCount="227">
  <si>
    <t>Experiment Name</t>
  </si>
  <si>
    <t>Start Date</t>
  </si>
  <si>
    <t>End Date</t>
  </si>
  <si>
    <t>Total Run Time</t>
  </si>
  <si>
    <t>Temperature (ºC)</t>
  </si>
  <si>
    <t>Pressure (kbar)</t>
  </si>
  <si>
    <t>Qtz Solb (mg SiO2/kg)</t>
  </si>
  <si>
    <t>Calc pH</t>
  </si>
  <si>
    <t>Starting material</t>
  </si>
  <si>
    <t>Notes</t>
  </si>
  <si>
    <t>recrystallization?</t>
  </si>
  <si>
    <t>Mass of cube 1 (mg)</t>
  </si>
  <si>
    <t>Mass of cube 2 (mg)</t>
  </si>
  <si>
    <t>Mass of 29SiO2 (mg)</t>
  </si>
  <si>
    <t>Volume of H2O (µl)</t>
  </si>
  <si>
    <t>Mass of NaF</t>
  </si>
  <si>
    <t>Mass of zircon powder/chips (mg)</t>
  </si>
  <si>
    <t>Mass of Quench Silica mg</t>
  </si>
  <si>
    <t>M SiO2 Qtz Sat (mg)</t>
  </si>
  <si>
    <t>Zircon Test (Au)</t>
  </si>
  <si>
    <t>Mud Tank Zircon</t>
  </si>
  <si>
    <t>Successful experiment. Glass, H2O, and crystal collected for analysis</t>
  </si>
  <si>
    <t>baddeleyite</t>
  </si>
  <si>
    <t>Zircon Test (Pt)</t>
  </si>
  <si>
    <t>Zircon 001</t>
  </si>
  <si>
    <t>Pilbara (SAM-47) Zircon</t>
  </si>
  <si>
    <t>Metamict zircon completely replaced</t>
  </si>
  <si>
    <t>-</t>
  </si>
  <si>
    <t>Zircon 002</t>
  </si>
  <si>
    <t>Zircon 003</t>
  </si>
  <si>
    <t>Zircon 004</t>
  </si>
  <si>
    <t>GIA_BUR_01_Cube1</t>
  </si>
  <si>
    <t>Zircon 005</t>
  </si>
  <si>
    <t>Blank ~12 hrs in oven at 110ºC</t>
  </si>
  <si>
    <t>1 atm</t>
  </si>
  <si>
    <t>AFG-Z-3.3 and AFG-Z-3.4</t>
  </si>
  <si>
    <t>Successful experiment. H2O, and 2 crystals collected for analysis. No glass observed in the outer capsule, 29Si powder found in the inner capsule.</t>
  </si>
  <si>
    <t>No</t>
  </si>
  <si>
    <t>Zircon 006</t>
  </si>
  <si>
    <t>1 Hr</t>
  </si>
  <si>
    <t>AFG-Z-3.5 and AFG-Z-3.6</t>
  </si>
  <si>
    <t>Successful experiment. H2O, and 2 crystals collected for analysis. No glass observed in the outer capsule</t>
  </si>
  <si>
    <t>Yes</t>
  </si>
  <si>
    <t>Zircon 007</t>
  </si>
  <si>
    <t>8 Hr</t>
  </si>
  <si>
    <t>AFG-Z-3.7 and AFG-Z-3.8</t>
  </si>
  <si>
    <t>Successful experiment.  H2O, and 2 crystals collected for analysis. No glass observed in the outer capsule</t>
  </si>
  <si>
    <t>Zircon 008</t>
  </si>
  <si>
    <t>24 Hr</t>
  </si>
  <si>
    <t>Unsuccessful experiment. Capsule Crushed</t>
  </si>
  <si>
    <t>Zircon 009</t>
  </si>
  <si>
    <t>11/31/2024</t>
  </si>
  <si>
    <t>7 days</t>
  </si>
  <si>
    <t>Mud Tank Zircon cubes</t>
  </si>
  <si>
    <t>USGS-49 water, 29Si, Mud tank Zircon</t>
  </si>
  <si>
    <t>Zircon 010</t>
  </si>
  <si>
    <t>14 days</t>
  </si>
  <si>
    <t>Zircon 011</t>
  </si>
  <si>
    <t>21 days</t>
  </si>
  <si>
    <t>Zircon 012</t>
  </si>
  <si>
    <t>blank (110ºC)</t>
  </si>
  <si>
    <t>Zircon 013</t>
  </si>
  <si>
    <t>24 Hrs</t>
  </si>
  <si>
    <t>Failed</t>
  </si>
  <si>
    <t>Zircon 014</t>
  </si>
  <si>
    <t>3 days</t>
  </si>
  <si>
    <t>Afghanistan Zircon (Partially Metamict) AFG-Z-9.1-5 cube 2 and AFG-Z-9.1-2 cube 2</t>
  </si>
  <si>
    <t>USGS-49 water, 1M NaF, 29Si, Afghanistan zircon (partially metamict)</t>
  </si>
  <si>
    <t>Zircon 015</t>
  </si>
  <si>
    <t>19 Days</t>
  </si>
  <si>
    <t>Afghanistan Zircon (Partially Metamict) AFG-Z-9.1-5 cube 1 and AFG-Z-9.1-2 cube 1</t>
  </si>
  <si>
    <t>Zircon 016</t>
  </si>
  <si>
    <t>7 Days</t>
  </si>
  <si>
    <t>Afghanistan Zircon (Partially Metamict) AFG-Z-9.1-3 and AFG-Z-4.2-4 cube 2</t>
  </si>
  <si>
    <t>Yes!</t>
  </si>
  <si>
    <t>Zircon 017</t>
  </si>
  <si>
    <t>Norway Zircon powder + fragments</t>
  </si>
  <si>
    <t>USGS-49, 29Si, Norway Zircon</t>
  </si>
  <si>
    <t>Zircon 018</t>
  </si>
  <si>
    <t>USGS-49, 1M NaF, 29Si, Norway Zircon</t>
  </si>
  <si>
    <t>Zircon 019</t>
  </si>
  <si>
    <t>1M HCl (mixed 10.3 µl 36%HCl with 110 µl USGS-49 water in capsule), 29Si, Norway Zircon</t>
  </si>
  <si>
    <t>Zircon 020</t>
  </si>
  <si>
    <t>N/A</t>
  </si>
  <si>
    <t>Failed to hold water during bake</t>
  </si>
  <si>
    <t>Norway zircon cubes</t>
  </si>
  <si>
    <t>USGS-49 water, 29Si, Norway zircon cubes (Disco)</t>
  </si>
  <si>
    <t>?</t>
  </si>
  <si>
    <t>Zircon 021</t>
  </si>
  <si>
    <t>Zircon 022</t>
  </si>
  <si>
    <t>Zir023</t>
  </si>
  <si>
    <t>Zir024</t>
  </si>
  <si>
    <t>Zir025</t>
  </si>
  <si>
    <t>Zir026</t>
  </si>
  <si>
    <t>Zir027</t>
  </si>
  <si>
    <t>Zir028</t>
  </si>
  <si>
    <t>Zir029</t>
  </si>
  <si>
    <t>Expt ID</t>
  </si>
  <si>
    <t>Zir030</t>
  </si>
  <si>
    <t>Zir031</t>
  </si>
  <si>
    <t>Std 30 Si</t>
  </si>
  <si>
    <t>Std 29 Si</t>
  </si>
  <si>
    <t>Fluid</t>
  </si>
  <si>
    <t>USGS49 + 1m NaF</t>
  </si>
  <si>
    <t>USGS49</t>
  </si>
  <si>
    <t>USGS49 + 5m NaF</t>
  </si>
  <si>
    <t>Pressure (GPa)</t>
  </si>
  <si>
    <t>Temperature (deg. C)</t>
  </si>
  <si>
    <t>Duration (h)</t>
  </si>
  <si>
    <t>Date started</t>
  </si>
  <si>
    <t>All weights in milligrams</t>
  </si>
  <si>
    <t>Weight cube 1</t>
  </si>
  <si>
    <t>MT 1-6</t>
  </si>
  <si>
    <t>MT 1-2</t>
  </si>
  <si>
    <t>MT 1-3</t>
  </si>
  <si>
    <t>MT 1-17</t>
  </si>
  <si>
    <t>MT 1-11</t>
  </si>
  <si>
    <t>MT 1-18</t>
  </si>
  <si>
    <t>MT-DC 1</t>
  </si>
  <si>
    <t>MT-DC 2</t>
  </si>
  <si>
    <t>Weight cube 2</t>
  </si>
  <si>
    <t>MT 1-1</t>
  </si>
  <si>
    <t>MT 1-7</t>
  </si>
  <si>
    <t>Weight inner capsule (empty)</t>
  </si>
  <si>
    <t>+ SiO2 powder</t>
  </si>
  <si>
    <t>Calc weight SiO2 powder</t>
  </si>
  <si>
    <t>+ cubes = inner capsule weight</t>
  </si>
  <si>
    <t>Calc weight cubes</t>
  </si>
  <si>
    <t>Wt inner + outer capsules</t>
  </si>
  <si>
    <t>+ NaF</t>
  </si>
  <si>
    <t>Calc weight NaF</t>
  </si>
  <si>
    <t>+ USGS49 H2O'</t>
  </si>
  <si>
    <t>+NaF powder</t>
  </si>
  <si>
    <t>Calc weight H2O</t>
  </si>
  <si>
    <t>Calc weight NaF powder</t>
  </si>
  <si>
    <t>Calc weight fluid</t>
  </si>
  <si>
    <t>Calc molality</t>
  </si>
  <si>
    <t>Calc weight H2O fluid</t>
  </si>
  <si>
    <t>Capsule after welding</t>
  </si>
  <si>
    <t>Capsule after 24 h at 100 deg. C</t>
  </si>
  <si>
    <t>After experiment</t>
  </si>
  <si>
    <t>Capsule exploded</t>
  </si>
  <si>
    <t>Wt capsule</t>
  </si>
  <si>
    <t>Calc weight loss capsule</t>
  </si>
  <si>
    <t>Weight vial</t>
  </si>
  <si>
    <t>Weight vial + fluid</t>
  </si>
  <si>
    <t>Weight vial + fluid+ENT</t>
  </si>
  <si>
    <t>Calc weight RP fluid</t>
  </si>
  <si>
    <t>Calc weight loss fluid</t>
  </si>
  <si>
    <t>Weight inner capsule</t>
  </si>
  <si>
    <t>Calc weight loss inner capsule</t>
  </si>
  <si>
    <t>Calc weight loss cubes</t>
  </si>
  <si>
    <t>Calc solubility from wt. loss cubes (wt. %)</t>
  </si>
  <si>
    <t>Weight quenched solutes</t>
  </si>
  <si>
    <t>NA</t>
  </si>
  <si>
    <t>Calc solubility from wt. QS (wt. %)</t>
  </si>
  <si>
    <t>Calc. solb. From wt loss i.c.</t>
  </si>
  <si>
    <t>NaOH</t>
  </si>
  <si>
    <t>USGS-49</t>
  </si>
  <si>
    <t>Calc. solb. From wt loss i.c. (wt. %)</t>
  </si>
  <si>
    <t>Avg. Solb. (wt. %)</t>
  </si>
  <si>
    <t>Calc solubility from wt. loss cubes (molality)</t>
  </si>
  <si>
    <t>Calc solubility from wt. QS (molality)</t>
  </si>
  <si>
    <t>Calc. solb. From wt loss i.c. (molality)</t>
  </si>
  <si>
    <t>Avg. solb. (molality)</t>
  </si>
  <si>
    <t xml:space="preserve">Total Run Time </t>
  </si>
  <si>
    <t>Starting Material</t>
  </si>
  <si>
    <t>Zircon 023</t>
  </si>
  <si>
    <t>Mud Tank</t>
  </si>
  <si>
    <t>USGS-49 water, 1M NaF, 30SiO2</t>
  </si>
  <si>
    <t>Zircon 024</t>
  </si>
  <si>
    <t>USGS-49 water, 30SiO2</t>
  </si>
  <si>
    <t>Zircon 025</t>
  </si>
  <si>
    <t>Zircon 026</t>
  </si>
  <si>
    <t>Zircon 027</t>
  </si>
  <si>
    <t>Zircon 028</t>
  </si>
  <si>
    <t>USGS-49 water, 5M NaF, 30SiO2</t>
  </si>
  <si>
    <t>Use weight loss method to decide future experiments</t>
  </si>
  <si>
    <t>Zircon 029</t>
  </si>
  <si>
    <t>Zircon 030</t>
  </si>
  <si>
    <t>Zircon 031</t>
  </si>
  <si>
    <t>Zircon 032</t>
  </si>
  <si>
    <t>Decide if we need to redo the 750 exps according to the condition of QSi</t>
  </si>
  <si>
    <t>Zircon 033</t>
  </si>
  <si>
    <t>If not do replacement experiment of the the GIA zircon</t>
  </si>
  <si>
    <t>Zircon 034</t>
  </si>
  <si>
    <t>Afghanistan Zircon</t>
  </si>
  <si>
    <t>USGS-49 water, 1M NaOH, 29Si, Afghanistan zircon (partially metamict)</t>
  </si>
  <si>
    <t>ND-033</t>
  </si>
  <si>
    <t>BUR 001</t>
  </si>
  <si>
    <t>USGS-49 water, 1M NaF, 29Si,  zircon (partially metamict)</t>
  </si>
  <si>
    <t>ND-036</t>
  </si>
  <si>
    <t>PAK-Z</t>
  </si>
  <si>
    <t>Expt</t>
  </si>
  <si>
    <t>Run Time (d)</t>
  </si>
  <si>
    <t>T (ºC)</t>
  </si>
  <si>
    <t>P (GPa)</t>
  </si>
  <si>
    <t>Starting material*</t>
  </si>
  <si>
    <t>Recrystallize?</t>
  </si>
  <si>
    <t>Mass of 29Si</t>
  </si>
  <si>
    <t>m NaF</t>
  </si>
  <si>
    <t>Quenched Silica (mg)</t>
  </si>
  <si>
    <t>Z_005</t>
  </si>
  <si>
    <t>AFG cubes + 0.5m NaF</t>
  </si>
  <si>
    <t>Z_006</t>
  </si>
  <si>
    <t>Z_007</t>
  </si>
  <si>
    <t>Z_009</t>
  </si>
  <si>
    <t>MTZ cubes</t>
  </si>
  <si>
    <t>Z_010</t>
  </si>
  <si>
    <t>Z_011</t>
  </si>
  <si>
    <t>Z_012</t>
  </si>
  <si>
    <t>Z_014</t>
  </si>
  <si>
    <t>AFG cubes + 1m NaF</t>
  </si>
  <si>
    <t>Z_015</t>
  </si>
  <si>
    <t>Z_016</t>
  </si>
  <si>
    <t>Z_017</t>
  </si>
  <si>
    <t>NWY powder + chips</t>
  </si>
  <si>
    <t>Z_018</t>
  </si>
  <si>
    <t>NWY powder + chips + 1m NaF</t>
  </si>
  <si>
    <t>Z_019</t>
  </si>
  <si>
    <t>Z_021</t>
  </si>
  <si>
    <t>NWY cubes</t>
  </si>
  <si>
    <t>Z_022</t>
  </si>
  <si>
    <t>NWY = Norway zircon (metamict), AFG = Afghanistan Zircon (Partially Metamict), MTZ = Mud Tank zircon (crystalline)</t>
  </si>
  <si>
    <t>mMZ</t>
  </si>
  <si>
    <t>mCZ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</si>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</sst>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8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DengXian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/>
    <xf numFmtId="14" fontId="0" fillId="0" borderId="0" xfId="0" applyNumberFormat="1"/>
    <xf numFmtId="0" fontId="6" fillId="0" borderId="0" xfId="0" applyFont="1"/>
    <xf numFmtId="0" fontId="0" fillId="2" borderId="0" xfId="0" applyFill="1"/>
    <xf numFmtId="2" fontId="0" fillId="2" borderId="0" xfId="0" applyNumberFormat="1" applyFill="1"/>
    <xf numFmtId="9" fontId="0" fillId="2" borderId="0" xfId="1" applyFont="1" applyFill="1"/>
    <xf numFmtId="2" fontId="0" fillId="0" borderId="0" xfId="0" applyNumberFormat="1"/>
    <xf numFmtId="9" fontId="0" fillId="0" borderId="0" xfId="1" applyFont="1" applyFill="1"/>
    <xf numFmtId="0" fontId="4" fillId="0" borderId="1" xfId="0" applyFont="1" applyBorder="1"/>
    <xf numFmtId="0" fontId="0" fillId="0" borderId="1" xfId="0" applyBorder="1"/>
    <xf numFmtId="10" fontId="0" fillId="2" borderId="0" xfId="1" applyNumberFormat="1" applyFont="1" applyFill="1"/>
    <xf numFmtId="165" fontId="0" fillId="2" borderId="0" xfId="1" applyNumberFormat="1" applyFont="1" applyFill="1"/>
    <xf numFmtId="10" fontId="0" fillId="0" borderId="0" xfId="1" applyNumberFormat="1" applyFont="1"/>
    <xf numFmtId="11" fontId="0" fillId="0" borderId="0" xfId="0" applyNumberFormat="1"/>
    <xf numFmtId="11" fontId="0" fillId="0" borderId="0" xfId="1" applyNumberFormat="1" applyFont="1"/>
    <xf numFmtId="0" fontId="4" fillId="0" borderId="1" xfId="0" applyFont="1" applyBorder="1" applyAlignment="1">
      <alignment wrapText="1"/>
    </xf>
    <xf numFmtId="0" fontId="8" fillId="0" borderId="0" xfId="0" applyFont="1"/>
    <xf numFmtId="165" fontId="0" fillId="0" borderId="0" xfId="0" applyNumberForma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workbookViewId="0">
      <pane xSplit="1" ySplit="1" topLeftCell="E3" activePane="bottomRight" state="frozen"/>
      <selection pane="topRight" activeCell="B1" sqref="B1"/>
      <selection pane="bottomLeft" activeCell="A2" sqref="A2"/>
      <selection pane="bottomRight" activeCell="N18" sqref="N18"/>
    </sheetView>
  </sheetViews>
  <sheetFormatPr defaultColWidth="9.1796875" defaultRowHeight="14" x14ac:dyDescent="0.35"/>
  <cols>
    <col min="1" max="1" width="17" style="1" bestFit="1" customWidth="1"/>
    <col min="2" max="2" width="19" style="1" customWidth="1"/>
    <col min="3" max="3" width="18.453125" style="1" bestFit="1" customWidth="1"/>
    <col min="4" max="4" width="18.453125" style="1" customWidth="1"/>
    <col min="5" max="5" width="18.1796875" style="1" customWidth="1"/>
    <col min="6" max="8" width="17.54296875" style="1" customWidth="1"/>
    <col min="9" max="9" width="48" style="1" customWidth="1"/>
    <col min="10" max="10" width="48.453125" style="1" customWidth="1"/>
    <col min="11" max="11" width="17.1796875" style="1" customWidth="1"/>
    <col min="12" max="13" width="15" style="1" customWidth="1"/>
    <col min="14" max="16" width="9.1796875" style="1"/>
    <col min="17" max="17" width="15.1796875" style="1" customWidth="1"/>
    <col min="18" max="18" width="9.1796875" style="1"/>
    <col min="19" max="19" width="9.54296875" style="1" bestFit="1" customWidth="1"/>
    <col min="20" max="16384" width="9.1796875" style="1"/>
  </cols>
  <sheetData>
    <row r="1" spans="1:20" ht="42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8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20" ht="28" x14ac:dyDescent="0.35">
      <c r="A2" s="1" t="s">
        <v>19</v>
      </c>
      <c r="B2" s="2">
        <v>45114</v>
      </c>
      <c r="C2" s="2">
        <v>45145</v>
      </c>
      <c r="D2" s="2"/>
      <c r="E2" s="1">
        <v>800</v>
      </c>
      <c r="F2" s="1">
        <v>1</v>
      </c>
      <c r="I2" s="1" t="s">
        <v>20</v>
      </c>
      <c r="J2" s="4" t="s">
        <v>21</v>
      </c>
      <c r="K2" s="1" t="s">
        <v>22</v>
      </c>
    </row>
    <row r="3" spans="1:20" ht="28" x14ac:dyDescent="0.35">
      <c r="A3" s="1" t="s">
        <v>23</v>
      </c>
      <c r="B3" s="2">
        <v>45114</v>
      </c>
      <c r="C3" s="2">
        <v>45145</v>
      </c>
      <c r="D3" s="2"/>
      <c r="E3" s="1">
        <v>800</v>
      </c>
      <c r="F3" s="1">
        <v>1</v>
      </c>
      <c r="I3" s="1" t="s">
        <v>20</v>
      </c>
      <c r="J3" s="4" t="s">
        <v>21</v>
      </c>
      <c r="K3" s="1" t="s">
        <v>22</v>
      </c>
    </row>
    <row r="4" spans="1:20" x14ac:dyDescent="0.35">
      <c r="A4" s="1" t="s">
        <v>24</v>
      </c>
      <c r="B4" s="2">
        <v>45156</v>
      </c>
      <c r="E4" s="1">
        <v>800</v>
      </c>
      <c r="F4" s="1">
        <v>1</v>
      </c>
      <c r="I4" s="1" t="s">
        <v>25</v>
      </c>
      <c r="J4" s="4" t="s">
        <v>26</v>
      </c>
      <c r="K4" s="1" t="s">
        <v>22</v>
      </c>
      <c r="L4" s="1" t="s">
        <v>27</v>
      </c>
      <c r="M4" s="1" t="s">
        <v>27</v>
      </c>
      <c r="N4" s="1">
        <f>103.2888-103.2454</f>
        <v>4.3399999999991223E-2</v>
      </c>
      <c r="O4" s="6">
        <f>1823.7409-1648.593</f>
        <v>175.14789999999994</v>
      </c>
      <c r="P4" s="1" t="s">
        <v>27</v>
      </c>
      <c r="Q4" s="1">
        <f>103.2454-103.1882</f>
        <v>5.7200000000008799E-2</v>
      </c>
    </row>
    <row r="5" spans="1:20" x14ac:dyDescent="0.35">
      <c r="A5" s="1" t="s">
        <v>28</v>
      </c>
      <c r="B5" s="2">
        <v>45156</v>
      </c>
      <c r="E5" s="1">
        <v>450</v>
      </c>
      <c r="F5" s="1">
        <v>1</v>
      </c>
      <c r="I5" s="1" t="s">
        <v>25</v>
      </c>
      <c r="J5" s="4" t="s">
        <v>26</v>
      </c>
      <c r="K5" s="1" t="s">
        <v>22</v>
      </c>
      <c r="L5" s="1" t="s">
        <v>27</v>
      </c>
      <c r="M5" s="1" t="s">
        <v>27</v>
      </c>
      <c r="N5" s="1">
        <f>113.3383-113.1182</f>
        <v>0.22010000000000218</v>
      </c>
      <c r="O5" s="1">
        <v>130</v>
      </c>
      <c r="P5" s="1" t="s">
        <v>27</v>
      </c>
      <c r="Q5" s="1">
        <f>113.1182-113.0946</f>
        <v>2.3600000000001842E-2</v>
      </c>
    </row>
    <row r="6" spans="1:20" x14ac:dyDescent="0.35">
      <c r="A6" s="1" t="s">
        <v>29</v>
      </c>
      <c r="I6" s="1" t="s">
        <v>25</v>
      </c>
      <c r="J6" s="4"/>
      <c r="K6" s="1" t="s">
        <v>22</v>
      </c>
      <c r="L6" s="1" t="s">
        <v>27</v>
      </c>
      <c r="M6" s="1" t="s">
        <v>27</v>
      </c>
      <c r="N6" s="1">
        <f>96.2945-96.153</f>
        <v>0.14149999999999352</v>
      </c>
      <c r="O6" s="1">
        <v>130</v>
      </c>
      <c r="P6" s="1" t="s">
        <v>27</v>
      </c>
      <c r="Q6" s="1">
        <f>96.1703-96.153</f>
        <v>1.7299999999991655E-2</v>
      </c>
    </row>
    <row r="7" spans="1:20" x14ac:dyDescent="0.35">
      <c r="A7" s="1" t="s">
        <v>30</v>
      </c>
      <c r="B7" s="2">
        <v>45170</v>
      </c>
      <c r="C7" s="2">
        <v>45208</v>
      </c>
      <c r="I7" s="1" t="s">
        <v>31</v>
      </c>
      <c r="J7" s="4"/>
      <c r="K7" s="1" t="s">
        <v>22</v>
      </c>
      <c r="L7" s="1">
        <v>29.363299999999999</v>
      </c>
      <c r="M7" s="1" t="s">
        <v>27</v>
      </c>
      <c r="N7" s="1">
        <f>80.2833-80.0498</f>
        <v>0.23349999999999227</v>
      </c>
      <c r="O7" s="6">
        <f>1950.587-1780.8075</f>
        <v>169.7795000000001</v>
      </c>
      <c r="P7" s="1" t="s">
        <v>27</v>
      </c>
      <c r="Q7" s="1" t="s">
        <v>27</v>
      </c>
    </row>
    <row r="8" spans="1:20" ht="42" x14ac:dyDescent="0.35">
      <c r="A8" s="1" t="s">
        <v>32</v>
      </c>
      <c r="B8" s="2">
        <v>45252</v>
      </c>
      <c r="D8" s="4" t="s">
        <v>33</v>
      </c>
      <c r="E8" s="1">
        <v>110</v>
      </c>
      <c r="F8" s="1" t="s">
        <v>34</v>
      </c>
      <c r="G8" s="1">
        <v>175</v>
      </c>
      <c r="I8" s="1" t="s">
        <v>35</v>
      </c>
      <c r="J8" s="4" t="s">
        <v>36</v>
      </c>
      <c r="K8" s="1" t="s">
        <v>37</v>
      </c>
      <c r="L8" s="1">
        <v>12.569800000000001</v>
      </c>
      <c r="M8" s="1">
        <v>7.4934000000000003</v>
      </c>
      <c r="N8" s="1">
        <v>1.3466</v>
      </c>
      <c r="O8" s="1">
        <v>120</v>
      </c>
      <c r="P8" s="1">
        <v>2.1429999999999998</v>
      </c>
      <c r="Q8" s="1" t="s">
        <v>27</v>
      </c>
    </row>
    <row r="9" spans="1:20" ht="28" x14ac:dyDescent="0.35">
      <c r="A9" s="1" t="s">
        <v>38</v>
      </c>
      <c r="B9" s="2">
        <v>45252</v>
      </c>
      <c r="D9" s="1" t="s">
        <v>39</v>
      </c>
      <c r="E9" s="1">
        <v>600</v>
      </c>
      <c r="F9" s="1">
        <v>2</v>
      </c>
      <c r="G9" s="1">
        <v>7260</v>
      </c>
      <c r="H9" s="1">
        <v>5.96</v>
      </c>
      <c r="I9" s="1" t="s">
        <v>40</v>
      </c>
      <c r="J9" s="4" t="s">
        <v>41</v>
      </c>
      <c r="K9" s="1" t="s">
        <v>42</v>
      </c>
      <c r="L9" s="1">
        <v>12.023199999999999</v>
      </c>
      <c r="M9" s="1">
        <v>11.176600000000001</v>
      </c>
      <c r="N9" s="1">
        <v>1.2353000000000001</v>
      </c>
      <c r="O9" s="1">
        <v>120</v>
      </c>
      <c r="P9" s="1">
        <v>2.1360000000000001</v>
      </c>
      <c r="Q9" s="1" t="s">
        <v>27</v>
      </c>
      <c r="R9" s="1">
        <v>2.7801000000000045</v>
      </c>
      <c r="S9" s="1">
        <f>O9*0.000001*G9</f>
        <v>0.87119999999999997</v>
      </c>
    </row>
    <row r="10" spans="1:20" ht="28" x14ac:dyDescent="0.35">
      <c r="A10" s="1" t="s">
        <v>43</v>
      </c>
      <c r="B10" s="2">
        <v>45252</v>
      </c>
      <c r="D10" s="1" t="s">
        <v>44</v>
      </c>
      <c r="E10" s="1">
        <v>600</v>
      </c>
      <c r="F10" s="1">
        <v>2</v>
      </c>
      <c r="G10" s="1">
        <v>7260</v>
      </c>
      <c r="H10" s="1">
        <v>5.96</v>
      </c>
      <c r="I10" s="1" t="s">
        <v>45</v>
      </c>
      <c r="J10" s="4" t="s">
        <v>46</v>
      </c>
      <c r="K10" s="1" t="s">
        <v>42</v>
      </c>
      <c r="L10" s="1">
        <v>8.9417000000000009</v>
      </c>
      <c r="M10" s="1">
        <v>17.922000000000001</v>
      </c>
      <c r="N10" s="1">
        <v>1.1738999999999999</v>
      </c>
      <c r="O10" s="1">
        <v>120</v>
      </c>
      <c r="P10" s="1">
        <v>2.1667000000000001</v>
      </c>
      <c r="Q10" s="1" t="s">
        <v>27</v>
      </c>
      <c r="R10" s="1">
        <v>0.21939999999995052</v>
      </c>
      <c r="S10" s="1">
        <f>O10*0.000001*G10</f>
        <v>0.87119999999999997</v>
      </c>
      <c r="T10" s="1">
        <f>SUM(L10:M10)</f>
        <v>26.863700000000001</v>
      </c>
    </row>
    <row r="11" spans="1:20" x14ac:dyDescent="0.35">
      <c r="A11" s="1" t="s">
        <v>47</v>
      </c>
      <c r="B11" s="2">
        <v>45257</v>
      </c>
      <c r="C11" s="2">
        <v>45258</v>
      </c>
      <c r="D11" s="1" t="s">
        <v>48</v>
      </c>
      <c r="E11" s="1">
        <v>1000</v>
      </c>
      <c r="F11" s="1">
        <v>10</v>
      </c>
      <c r="J11" s="4" t="s">
        <v>49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  <c r="Q11" s="1" t="s">
        <v>27</v>
      </c>
    </row>
    <row r="12" spans="1:20" x14ac:dyDescent="0.35">
      <c r="A12" s="1" t="s">
        <v>50</v>
      </c>
      <c r="B12" s="2">
        <v>45315</v>
      </c>
      <c r="C12" s="2" t="s">
        <v>51</v>
      </c>
      <c r="D12" s="1" t="s">
        <v>52</v>
      </c>
      <c r="E12" s="1">
        <v>750</v>
      </c>
      <c r="F12" s="1">
        <v>2</v>
      </c>
      <c r="G12" s="13">
        <v>12400</v>
      </c>
      <c r="H12" s="1">
        <v>7.21</v>
      </c>
      <c r="I12" s="1" t="s">
        <v>53</v>
      </c>
      <c r="J12" s="4" t="s">
        <v>54</v>
      </c>
      <c r="K12" s="1" t="s">
        <v>37</v>
      </c>
      <c r="L12" s="1">
        <v>9.4474</v>
      </c>
      <c r="M12" s="1">
        <v>10.553000000000001</v>
      </c>
      <c r="N12" s="1">
        <f>115.9289-114.8693</f>
        <v>1.0596000000000032</v>
      </c>
      <c r="O12" s="1">
        <v>120</v>
      </c>
      <c r="P12" s="1" t="s">
        <v>27</v>
      </c>
      <c r="Q12" s="1" t="s">
        <v>27</v>
      </c>
      <c r="R12" s="1">
        <v>1.3021999999999707</v>
      </c>
      <c r="S12" s="13">
        <f>O12*0.000001*G12</f>
        <v>1.4879999999999998</v>
      </c>
    </row>
    <row r="13" spans="1:20" x14ac:dyDescent="0.35">
      <c r="A13" s="1" t="s">
        <v>55</v>
      </c>
      <c r="B13" s="2">
        <v>45315</v>
      </c>
      <c r="C13" s="2">
        <v>45329</v>
      </c>
      <c r="D13" s="1" t="s">
        <v>56</v>
      </c>
      <c r="E13" s="1">
        <v>750</v>
      </c>
      <c r="F13" s="1">
        <v>2</v>
      </c>
      <c r="G13" s="13">
        <v>12400</v>
      </c>
      <c r="H13" s="1">
        <v>7.21</v>
      </c>
      <c r="I13" s="1" t="s">
        <v>53</v>
      </c>
      <c r="J13" s="4" t="s">
        <v>54</v>
      </c>
      <c r="K13" s="1" t="s">
        <v>37</v>
      </c>
      <c r="L13" s="1">
        <v>13.519500000000001</v>
      </c>
      <c r="M13" s="1">
        <v>9.8030000000000008</v>
      </c>
      <c r="N13" s="1">
        <f>174.3108-173.1998</f>
        <v>1.11099999999999</v>
      </c>
      <c r="O13" s="1">
        <v>120</v>
      </c>
      <c r="P13" s="1" t="s">
        <v>27</v>
      </c>
      <c r="Q13" s="1" t="s">
        <v>27</v>
      </c>
    </row>
    <row r="14" spans="1:20" x14ac:dyDescent="0.35">
      <c r="A14" s="1" t="s">
        <v>57</v>
      </c>
      <c r="B14" s="2">
        <v>45315</v>
      </c>
      <c r="C14" s="2">
        <v>45336</v>
      </c>
      <c r="D14" s="1" t="s">
        <v>58</v>
      </c>
      <c r="E14" s="1">
        <v>750</v>
      </c>
      <c r="F14" s="1">
        <v>2</v>
      </c>
      <c r="G14" s="13">
        <v>12400</v>
      </c>
      <c r="H14" s="1">
        <v>7.21</v>
      </c>
      <c r="I14" s="1" t="s">
        <v>53</v>
      </c>
      <c r="J14" s="4" t="s">
        <v>54</v>
      </c>
      <c r="K14" s="1" t="s">
        <v>37</v>
      </c>
      <c r="L14" s="1">
        <v>7.8865999999999996</v>
      </c>
      <c r="M14" s="1">
        <v>5.0461</v>
      </c>
      <c r="N14" s="1">
        <f>141.3287-140.1758</f>
        <v>1.1528999999999883</v>
      </c>
      <c r="O14" s="1">
        <v>120</v>
      </c>
      <c r="P14" s="1" t="s">
        <v>27</v>
      </c>
      <c r="Q14" s="1" t="s">
        <v>27</v>
      </c>
      <c r="R14" s="1">
        <v>0.72870000000000346</v>
      </c>
      <c r="S14" s="1">
        <f>O14*0.000001*G14</f>
        <v>1.4879999999999998</v>
      </c>
    </row>
    <row r="15" spans="1:20" x14ac:dyDescent="0.35">
      <c r="A15" s="1" t="s">
        <v>59</v>
      </c>
      <c r="B15" s="2">
        <v>45315</v>
      </c>
      <c r="C15" s="2">
        <v>45315</v>
      </c>
      <c r="D15" s="1" t="s">
        <v>33</v>
      </c>
      <c r="E15" s="1" t="s">
        <v>60</v>
      </c>
      <c r="F15" s="1" t="s">
        <v>34</v>
      </c>
      <c r="G15" s="1">
        <v>175</v>
      </c>
      <c r="I15" s="1" t="s">
        <v>53</v>
      </c>
      <c r="J15" s="4" t="s">
        <v>54</v>
      </c>
      <c r="K15" s="1" t="s">
        <v>37</v>
      </c>
      <c r="L15" s="1">
        <v>10.9602</v>
      </c>
      <c r="M15" s="1">
        <v>7.5221</v>
      </c>
      <c r="N15" s="1">
        <f>144.8788-143.8307</f>
        <v>1.0481000000000051</v>
      </c>
      <c r="O15" s="1">
        <v>120</v>
      </c>
      <c r="P15" s="1" t="s">
        <v>27</v>
      </c>
      <c r="Q15" s="1" t="s">
        <v>27</v>
      </c>
    </row>
    <row r="16" spans="1:20" x14ac:dyDescent="0.35">
      <c r="A16" s="1" t="s">
        <v>61</v>
      </c>
      <c r="B16" s="2">
        <v>45330</v>
      </c>
      <c r="C16" s="2">
        <v>45331</v>
      </c>
      <c r="D16" s="1" t="s">
        <v>62</v>
      </c>
      <c r="E16" s="1">
        <v>1000</v>
      </c>
      <c r="F16" s="1">
        <v>10</v>
      </c>
      <c r="I16" s="1" t="s">
        <v>53</v>
      </c>
      <c r="J16" s="4" t="s">
        <v>54</v>
      </c>
      <c r="K16" s="1" t="s">
        <v>63</v>
      </c>
      <c r="L16" s="1">
        <v>10.779500000000001</v>
      </c>
      <c r="M16" s="1">
        <v>12.745900000000001</v>
      </c>
      <c r="N16" s="1">
        <f>2.5</f>
        <v>2.5</v>
      </c>
      <c r="O16" s="1">
        <v>120</v>
      </c>
      <c r="P16" s="1" t="s">
        <v>27</v>
      </c>
      <c r="Q16" s="1" t="s">
        <v>27</v>
      </c>
    </row>
    <row r="17" spans="1:20" ht="28" x14ac:dyDescent="0.35">
      <c r="A17" s="1" t="s">
        <v>64</v>
      </c>
      <c r="B17" s="2">
        <v>45335</v>
      </c>
      <c r="C17" s="2">
        <v>45338</v>
      </c>
      <c r="D17" s="1" t="s">
        <v>65</v>
      </c>
      <c r="E17" s="1">
        <v>800</v>
      </c>
      <c r="F17" s="1">
        <v>2</v>
      </c>
      <c r="G17" s="13">
        <v>14280</v>
      </c>
      <c r="H17" s="1">
        <v>9.6</v>
      </c>
      <c r="I17" s="4" t="s">
        <v>66</v>
      </c>
      <c r="J17" s="4" t="s">
        <v>67</v>
      </c>
      <c r="K17" s="1" t="s">
        <v>37</v>
      </c>
      <c r="L17" s="1">
        <v>11.3362</v>
      </c>
      <c r="M17" s="1">
        <v>6.5960000000000001</v>
      </c>
      <c r="N17" s="1">
        <v>1.768</v>
      </c>
      <c r="O17" s="1">
        <v>120</v>
      </c>
      <c r="P17" s="1">
        <v>4.4800000000000004</v>
      </c>
      <c r="Q17" s="1" t="s">
        <v>27</v>
      </c>
      <c r="R17" s="1">
        <v>0.20210000000002992</v>
      </c>
      <c r="S17" s="1">
        <f t="shared" ref="S17:S19" si="0">O17*0.000001*G17</f>
        <v>1.7135999999999998</v>
      </c>
      <c r="T17" s="1">
        <f>SUM(L17:M17)</f>
        <v>17.932200000000002</v>
      </c>
    </row>
    <row r="18" spans="1:20" ht="28" x14ac:dyDescent="0.35">
      <c r="A18" s="1" t="s">
        <v>68</v>
      </c>
      <c r="B18" s="2">
        <v>45357</v>
      </c>
      <c r="C18" s="2">
        <v>45376</v>
      </c>
      <c r="D18" s="1" t="s">
        <v>69</v>
      </c>
      <c r="E18" s="1">
        <v>800</v>
      </c>
      <c r="F18" s="1">
        <v>2</v>
      </c>
      <c r="G18" s="13">
        <v>14280</v>
      </c>
      <c r="H18" s="1">
        <v>9.6</v>
      </c>
      <c r="I18" s="4" t="s">
        <v>70</v>
      </c>
      <c r="J18" s="4" t="s">
        <v>67</v>
      </c>
      <c r="K18" s="1" t="s">
        <v>42</v>
      </c>
      <c r="L18" s="1">
        <v>17.8169</v>
      </c>
      <c r="M18" s="1">
        <v>16.972100000000001</v>
      </c>
      <c r="N18" s="1">
        <v>1.6950000000000001</v>
      </c>
      <c r="O18" s="1">
        <v>120</v>
      </c>
      <c r="P18" s="1">
        <v>5.1722999999999999</v>
      </c>
      <c r="Q18" s="1" t="s">
        <v>27</v>
      </c>
      <c r="R18" s="1">
        <v>0.53779999999994743</v>
      </c>
      <c r="S18" s="1">
        <f t="shared" si="0"/>
        <v>1.7135999999999998</v>
      </c>
      <c r="T18" s="1">
        <f t="shared" ref="T18:T19" si="1">SUM(L18:M18)</f>
        <v>34.789000000000001</v>
      </c>
    </row>
    <row r="19" spans="1:20" ht="28" x14ac:dyDescent="0.35">
      <c r="A19" s="1" t="s">
        <v>71</v>
      </c>
      <c r="B19" s="2">
        <v>45343</v>
      </c>
      <c r="C19" s="2">
        <v>45350</v>
      </c>
      <c r="D19" s="1" t="s">
        <v>72</v>
      </c>
      <c r="E19" s="1">
        <v>800</v>
      </c>
      <c r="F19" s="1">
        <v>2</v>
      </c>
      <c r="G19" s="13">
        <v>14280</v>
      </c>
      <c r="H19" s="1">
        <v>9.6</v>
      </c>
      <c r="I19" s="4" t="s">
        <v>73</v>
      </c>
      <c r="J19" s="4" t="s">
        <v>67</v>
      </c>
      <c r="K19" s="1" t="s">
        <v>74</v>
      </c>
      <c r="L19" s="1">
        <v>21.060600000000001</v>
      </c>
      <c r="M19" s="1">
        <v>6.1132999999999997</v>
      </c>
      <c r="N19" s="1">
        <v>2.073</v>
      </c>
      <c r="O19" s="1">
        <v>120</v>
      </c>
      <c r="P19" s="1">
        <v>5.0224000000000002</v>
      </c>
      <c r="Q19" s="1" t="s">
        <v>27</v>
      </c>
      <c r="R19" s="1">
        <v>0.78980000000001382</v>
      </c>
      <c r="S19" s="1">
        <f t="shared" si="0"/>
        <v>1.7135999999999998</v>
      </c>
      <c r="T19" s="1">
        <f t="shared" si="1"/>
        <v>27.1739</v>
      </c>
    </row>
    <row r="20" spans="1:20" x14ac:dyDescent="0.35">
      <c r="A20" s="1" t="s">
        <v>75</v>
      </c>
      <c r="B20" s="2">
        <v>45351</v>
      </c>
      <c r="C20" s="2">
        <v>45352</v>
      </c>
      <c r="D20" s="1" t="s">
        <v>62</v>
      </c>
      <c r="E20" s="1">
        <v>600</v>
      </c>
      <c r="F20" s="1">
        <v>2</v>
      </c>
      <c r="I20" s="1" t="s">
        <v>76</v>
      </c>
      <c r="J20" s="4" t="s">
        <v>77</v>
      </c>
      <c r="K20" s="1" t="s">
        <v>42</v>
      </c>
      <c r="L20" s="1" t="s">
        <v>27</v>
      </c>
      <c r="M20" s="1" t="s">
        <v>27</v>
      </c>
      <c r="N20" s="1">
        <f>152.1043-150.8015</f>
        <v>1.3027999999999906</v>
      </c>
      <c r="O20" s="1" t="s">
        <v>27</v>
      </c>
      <c r="P20" s="1" t="s">
        <v>27</v>
      </c>
      <c r="Q20" s="1">
        <f>178.676-152.1043</f>
        <v>26.571699999999993</v>
      </c>
    </row>
    <row r="21" spans="1:20" x14ac:dyDescent="0.35">
      <c r="A21" s="1" t="s">
        <v>78</v>
      </c>
      <c r="B21" s="2">
        <v>45350</v>
      </c>
      <c r="C21" s="2">
        <v>45351</v>
      </c>
      <c r="D21" s="1" t="s">
        <v>62</v>
      </c>
      <c r="E21" s="1">
        <v>600</v>
      </c>
      <c r="F21" s="1">
        <v>2</v>
      </c>
      <c r="G21" s="1">
        <v>7332</v>
      </c>
      <c r="H21" s="1">
        <v>8.4600000000000009</v>
      </c>
      <c r="I21" s="1" t="s">
        <v>76</v>
      </c>
      <c r="J21" s="4" t="s">
        <v>79</v>
      </c>
      <c r="K21" s="1" t="s">
        <v>42</v>
      </c>
      <c r="L21" s="1" t="s">
        <v>27</v>
      </c>
      <c r="M21" s="1" t="s">
        <v>27</v>
      </c>
      <c r="N21" s="1">
        <f>146.2798-144.7605</f>
        <v>1.519299999999987</v>
      </c>
      <c r="O21" s="1" t="s">
        <v>27</v>
      </c>
      <c r="P21" s="1">
        <f>1700.128-1694.7214</f>
        <v>5.4066000000000258</v>
      </c>
      <c r="Q21" s="1">
        <f>172.4678-146.2798</f>
        <v>26.188000000000017</v>
      </c>
    </row>
    <row r="22" spans="1:20" ht="28" x14ac:dyDescent="0.35">
      <c r="A22" s="1" t="s">
        <v>80</v>
      </c>
      <c r="B22" s="2">
        <v>45350</v>
      </c>
      <c r="C22" s="2">
        <v>45351</v>
      </c>
      <c r="D22" s="1" t="s">
        <v>62</v>
      </c>
      <c r="E22" s="1">
        <v>600</v>
      </c>
      <c r="F22" s="1">
        <v>2</v>
      </c>
      <c r="G22" s="1">
        <v>7010</v>
      </c>
      <c r="H22" s="1">
        <v>1.75</v>
      </c>
      <c r="I22" s="1" t="s">
        <v>76</v>
      </c>
      <c r="J22" s="4" t="s">
        <v>81</v>
      </c>
      <c r="K22" s="1" t="s">
        <v>87</v>
      </c>
      <c r="L22" s="1" t="s">
        <v>27</v>
      </c>
      <c r="M22" s="1" t="s">
        <v>27</v>
      </c>
      <c r="N22" s="1">
        <f>125.8417-124.2025</f>
        <v>1.6392000000000024</v>
      </c>
      <c r="O22" s="1" t="s">
        <v>27</v>
      </c>
      <c r="P22" s="1" t="s">
        <v>27</v>
      </c>
      <c r="Q22" s="1">
        <f>144.6602-125.8417</f>
        <v>18.8185</v>
      </c>
    </row>
    <row r="23" spans="1:20" ht="28" x14ac:dyDescent="0.35">
      <c r="A23" s="1" t="s">
        <v>82</v>
      </c>
      <c r="B23" s="2">
        <v>45384</v>
      </c>
      <c r="C23" s="1" t="s">
        <v>83</v>
      </c>
      <c r="D23" s="4" t="s">
        <v>84</v>
      </c>
      <c r="E23" s="4" t="s">
        <v>84</v>
      </c>
      <c r="F23" s="4" t="s">
        <v>84</v>
      </c>
      <c r="G23" s="4"/>
      <c r="H23" s="4"/>
      <c r="I23" s="1" t="s">
        <v>85</v>
      </c>
      <c r="J23" s="4" t="s">
        <v>86</v>
      </c>
      <c r="K23" s="1" t="s">
        <v>87</v>
      </c>
      <c r="L23" s="32">
        <f>181.5216-165.7468</f>
        <v>15.774799999999999</v>
      </c>
      <c r="M23" s="32"/>
      <c r="N23" s="1">
        <f>(182.5219-181.5216)+(1705.1336-1704.3223)</f>
        <v>1.811599999999828</v>
      </c>
      <c r="O23" s="1">
        <v>120</v>
      </c>
      <c r="P23" s="1" t="s">
        <v>27</v>
      </c>
      <c r="Q23" s="1" t="s">
        <v>27</v>
      </c>
    </row>
    <row r="24" spans="1:20" x14ac:dyDescent="0.35">
      <c r="A24" s="1" t="s">
        <v>88</v>
      </c>
      <c r="B24" s="2">
        <v>45384</v>
      </c>
      <c r="C24" s="2">
        <v>45387</v>
      </c>
      <c r="D24" s="1" t="s">
        <v>65</v>
      </c>
      <c r="E24" s="1">
        <v>800</v>
      </c>
      <c r="F24" s="1">
        <v>1</v>
      </c>
      <c r="G24" s="13">
        <v>14500</v>
      </c>
      <c r="H24" s="1">
        <v>7.6</v>
      </c>
      <c r="I24" s="1" t="s">
        <v>85</v>
      </c>
      <c r="J24" s="4" t="s">
        <v>86</v>
      </c>
      <c r="K24" s="1" t="s">
        <v>87</v>
      </c>
      <c r="L24" s="32">
        <f>173.1019-160.1331</f>
        <v>12.968799999999987</v>
      </c>
      <c r="M24" s="32"/>
      <c r="N24" s="1">
        <f>(174.4643-173.1019)+(1735.9271-1733.7685)</f>
        <v>3.521000000000214</v>
      </c>
      <c r="O24" s="1">
        <v>120</v>
      </c>
      <c r="P24" s="1" t="s">
        <v>27</v>
      </c>
      <c r="Q24" s="1" t="s">
        <v>27</v>
      </c>
    </row>
    <row r="25" spans="1:20" x14ac:dyDescent="0.35">
      <c r="A25" s="1" t="s">
        <v>89</v>
      </c>
      <c r="B25" s="2">
        <v>45384</v>
      </c>
      <c r="C25" s="2">
        <v>45391</v>
      </c>
      <c r="D25" s="1" t="s">
        <v>52</v>
      </c>
      <c r="E25" s="1">
        <v>800</v>
      </c>
      <c r="F25" s="1">
        <v>1</v>
      </c>
      <c r="G25" s="13">
        <v>14500</v>
      </c>
      <c r="H25" s="1">
        <v>7.6</v>
      </c>
      <c r="I25" s="1" t="s">
        <v>85</v>
      </c>
      <c r="J25" s="4" t="s">
        <v>86</v>
      </c>
      <c r="K25" s="1" t="s">
        <v>87</v>
      </c>
      <c r="L25" s="32">
        <f>174.854-163.7575</f>
        <v>11.09650000000002</v>
      </c>
      <c r="M25" s="32"/>
      <c r="N25" s="1">
        <f>(175.9563-174.854)+(1727.6003-1726.7132)</f>
        <v>1.9894000000001313</v>
      </c>
      <c r="O25" s="1">
        <v>120</v>
      </c>
      <c r="P25" s="1" t="s">
        <v>27</v>
      </c>
      <c r="Q25" s="1" t="s">
        <v>27</v>
      </c>
    </row>
    <row r="26" spans="1:20" x14ac:dyDescent="0.35">
      <c r="A26" s="1" t="s">
        <v>90</v>
      </c>
      <c r="J26" s="4"/>
    </row>
    <row r="27" spans="1:20" x14ac:dyDescent="0.35">
      <c r="A27" s="1" t="s">
        <v>91</v>
      </c>
      <c r="J27" s="4"/>
    </row>
    <row r="28" spans="1:20" x14ac:dyDescent="0.35">
      <c r="A28" s="1" t="s">
        <v>92</v>
      </c>
      <c r="H28" s="1">
        <f>10^-9.6</f>
        <v>2.5118864315095784E-10</v>
      </c>
      <c r="J28" s="4"/>
    </row>
    <row r="29" spans="1:20" x14ac:dyDescent="0.35">
      <c r="A29" s="1" t="s">
        <v>93</v>
      </c>
      <c r="J29" s="4"/>
    </row>
    <row r="30" spans="1:20" x14ac:dyDescent="0.35">
      <c r="A30" s="1" t="s">
        <v>94</v>
      </c>
      <c r="J30" s="4"/>
    </row>
    <row r="31" spans="1:20" x14ac:dyDescent="0.35">
      <c r="A31" s="1" t="s">
        <v>95</v>
      </c>
      <c r="J31" s="4"/>
    </row>
    <row r="32" spans="1:20" x14ac:dyDescent="0.35">
      <c r="A32" s="1" t="s">
        <v>96</v>
      </c>
      <c r="J32" s="4"/>
    </row>
  </sheetData>
  <mergeCells count="3">
    <mergeCell ref="L23:M23"/>
    <mergeCell ref="L24:M24"/>
    <mergeCell ref="L25:M2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FFEF-449D-42DF-91AE-0714DA53D952}">
  <dimension ref="A1:C37"/>
  <sheetViews>
    <sheetView tabSelected="1" topLeftCell="A7" workbookViewId="0">
      <selection activeCell="E37" sqref="E37"/>
    </sheetView>
  </sheetViews>
  <sheetFormatPr defaultRowHeight="14.5" x14ac:dyDescent="0.35"/>
  <sheetData>
    <row r="1" spans="1:3" x14ac:dyDescent="0.35">
      <c r="A1" t="s">
        <v>224</v>
      </c>
      <c r="B1" t="s">
        <v>225</v>
      </c>
      <c r="C1" t="s">
        <v>226</v>
      </c>
    </row>
    <row r="2" spans="1:3" x14ac:dyDescent="0.35">
      <c r="A2">
        <f>35</f>
        <v>35</v>
      </c>
      <c r="B2">
        <v>0</v>
      </c>
      <c r="C2">
        <f>B2/(B2+A2)</f>
        <v>0</v>
      </c>
    </row>
    <row r="3" spans="1:3" x14ac:dyDescent="0.35">
      <c r="A3">
        <f>A2-1</f>
        <v>34</v>
      </c>
      <c r="B3">
        <f>A$2-A3</f>
        <v>1</v>
      </c>
      <c r="C3">
        <f>B3/(B3+A3)</f>
        <v>2.8571428571428571E-2</v>
      </c>
    </row>
    <row r="4" spans="1:3" x14ac:dyDescent="0.35">
      <c r="A4">
        <f t="shared" ref="A4:A34" si="0">A3-1</f>
        <v>33</v>
      </c>
      <c r="B4">
        <f t="shared" ref="B4:B37" si="1">A$2-A4</f>
        <v>2</v>
      </c>
      <c r="C4">
        <f t="shared" ref="C4:C34" si="2">B4/(B4+A4)</f>
        <v>5.7142857142857141E-2</v>
      </c>
    </row>
    <row r="5" spans="1:3" x14ac:dyDescent="0.35">
      <c r="A5">
        <f t="shared" si="0"/>
        <v>32</v>
      </c>
      <c r="B5">
        <f t="shared" si="1"/>
        <v>3</v>
      </c>
      <c r="C5">
        <f t="shared" si="2"/>
        <v>8.5714285714285715E-2</v>
      </c>
    </row>
    <row r="6" spans="1:3" x14ac:dyDescent="0.35">
      <c r="A6">
        <f t="shared" si="0"/>
        <v>31</v>
      </c>
      <c r="B6">
        <f t="shared" si="1"/>
        <v>4</v>
      </c>
      <c r="C6">
        <f t="shared" si="2"/>
        <v>0.11428571428571428</v>
      </c>
    </row>
    <row r="7" spans="1:3" x14ac:dyDescent="0.35">
      <c r="A7">
        <f t="shared" si="0"/>
        <v>30</v>
      </c>
      <c r="B7">
        <f t="shared" si="1"/>
        <v>5</v>
      </c>
      <c r="C7">
        <f t="shared" si="2"/>
        <v>0.14285714285714285</v>
      </c>
    </row>
    <row r="8" spans="1:3" x14ac:dyDescent="0.35">
      <c r="A8">
        <f t="shared" si="0"/>
        <v>29</v>
      </c>
      <c r="B8">
        <f t="shared" si="1"/>
        <v>6</v>
      </c>
      <c r="C8">
        <f t="shared" si="2"/>
        <v>0.17142857142857143</v>
      </c>
    </row>
    <row r="9" spans="1:3" x14ac:dyDescent="0.35">
      <c r="A9">
        <f t="shared" si="0"/>
        <v>28</v>
      </c>
      <c r="B9">
        <f t="shared" si="1"/>
        <v>7</v>
      </c>
      <c r="C9">
        <f t="shared" si="2"/>
        <v>0.2</v>
      </c>
    </row>
    <row r="10" spans="1:3" x14ac:dyDescent="0.35">
      <c r="A10">
        <f t="shared" si="0"/>
        <v>27</v>
      </c>
      <c r="B10">
        <f t="shared" si="1"/>
        <v>8</v>
      </c>
      <c r="C10">
        <f t="shared" si="2"/>
        <v>0.22857142857142856</v>
      </c>
    </row>
    <row r="11" spans="1:3" x14ac:dyDescent="0.35">
      <c r="A11">
        <f t="shared" si="0"/>
        <v>26</v>
      </c>
      <c r="B11">
        <f t="shared" si="1"/>
        <v>9</v>
      </c>
      <c r="C11">
        <f t="shared" si="2"/>
        <v>0.25714285714285712</v>
      </c>
    </row>
    <row r="12" spans="1:3" x14ac:dyDescent="0.35">
      <c r="A12">
        <f t="shared" si="0"/>
        <v>25</v>
      </c>
      <c r="B12">
        <f t="shared" si="1"/>
        <v>10</v>
      </c>
      <c r="C12">
        <f t="shared" si="2"/>
        <v>0.2857142857142857</v>
      </c>
    </row>
    <row r="13" spans="1:3" x14ac:dyDescent="0.35">
      <c r="A13">
        <f t="shared" si="0"/>
        <v>24</v>
      </c>
      <c r="B13">
        <f t="shared" si="1"/>
        <v>11</v>
      </c>
      <c r="C13">
        <f t="shared" si="2"/>
        <v>0.31428571428571428</v>
      </c>
    </row>
    <row r="14" spans="1:3" x14ac:dyDescent="0.35">
      <c r="A14">
        <f t="shared" si="0"/>
        <v>23</v>
      </c>
      <c r="B14">
        <f t="shared" si="1"/>
        <v>12</v>
      </c>
      <c r="C14">
        <f t="shared" si="2"/>
        <v>0.34285714285714286</v>
      </c>
    </row>
    <row r="15" spans="1:3" x14ac:dyDescent="0.35">
      <c r="A15">
        <f t="shared" si="0"/>
        <v>22</v>
      </c>
      <c r="B15">
        <f t="shared" si="1"/>
        <v>13</v>
      </c>
      <c r="C15">
        <f t="shared" si="2"/>
        <v>0.37142857142857144</v>
      </c>
    </row>
    <row r="16" spans="1:3" x14ac:dyDescent="0.35">
      <c r="A16">
        <f t="shared" si="0"/>
        <v>21</v>
      </c>
      <c r="B16">
        <f t="shared" si="1"/>
        <v>14</v>
      </c>
      <c r="C16">
        <f t="shared" si="2"/>
        <v>0.4</v>
      </c>
    </row>
    <row r="17" spans="1:3" x14ac:dyDescent="0.35">
      <c r="A17">
        <f t="shared" si="0"/>
        <v>20</v>
      </c>
      <c r="B17">
        <f t="shared" si="1"/>
        <v>15</v>
      </c>
      <c r="C17">
        <f t="shared" si="2"/>
        <v>0.42857142857142855</v>
      </c>
    </row>
    <row r="18" spans="1:3" x14ac:dyDescent="0.35">
      <c r="A18">
        <f t="shared" si="0"/>
        <v>19</v>
      </c>
      <c r="B18">
        <f t="shared" si="1"/>
        <v>16</v>
      </c>
      <c r="C18">
        <f t="shared" si="2"/>
        <v>0.45714285714285713</v>
      </c>
    </row>
    <row r="19" spans="1:3" x14ac:dyDescent="0.35">
      <c r="A19">
        <f t="shared" si="0"/>
        <v>18</v>
      </c>
      <c r="B19">
        <f t="shared" si="1"/>
        <v>17</v>
      </c>
      <c r="C19">
        <f t="shared" si="2"/>
        <v>0.48571428571428571</v>
      </c>
    </row>
    <row r="20" spans="1:3" x14ac:dyDescent="0.35">
      <c r="A20">
        <f t="shared" si="0"/>
        <v>17</v>
      </c>
      <c r="B20">
        <f t="shared" si="1"/>
        <v>18</v>
      </c>
      <c r="C20">
        <f t="shared" si="2"/>
        <v>0.51428571428571423</v>
      </c>
    </row>
    <row r="21" spans="1:3" x14ac:dyDescent="0.35">
      <c r="A21">
        <f t="shared" si="0"/>
        <v>16</v>
      </c>
      <c r="B21">
        <f t="shared" si="1"/>
        <v>19</v>
      </c>
      <c r="C21">
        <f t="shared" si="2"/>
        <v>0.54285714285714282</v>
      </c>
    </row>
    <row r="22" spans="1:3" x14ac:dyDescent="0.35">
      <c r="A22">
        <f t="shared" si="0"/>
        <v>15</v>
      </c>
      <c r="B22">
        <f t="shared" si="1"/>
        <v>20</v>
      </c>
      <c r="C22">
        <f t="shared" si="2"/>
        <v>0.5714285714285714</v>
      </c>
    </row>
    <row r="23" spans="1:3" x14ac:dyDescent="0.35">
      <c r="A23">
        <f t="shared" si="0"/>
        <v>14</v>
      </c>
      <c r="B23">
        <f t="shared" si="1"/>
        <v>21</v>
      </c>
      <c r="C23">
        <f t="shared" si="2"/>
        <v>0.6</v>
      </c>
    </row>
    <row r="24" spans="1:3" x14ac:dyDescent="0.35">
      <c r="A24">
        <f t="shared" si="0"/>
        <v>13</v>
      </c>
      <c r="B24">
        <f t="shared" si="1"/>
        <v>22</v>
      </c>
      <c r="C24">
        <f t="shared" si="2"/>
        <v>0.62857142857142856</v>
      </c>
    </row>
    <row r="25" spans="1:3" x14ac:dyDescent="0.35">
      <c r="A25">
        <f t="shared" si="0"/>
        <v>12</v>
      </c>
      <c r="B25">
        <f t="shared" si="1"/>
        <v>23</v>
      </c>
      <c r="C25">
        <f t="shared" si="2"/>
        <v>0.65714285714285714</v>
      </c>
    </row>
    <row r="26" spans="1:3" x14ac:dyDescent="0.35">
      <c r="A26">
        <f t="shared" si="0"/>
        <v>11</v>
      </c>
      <c r="B26">
        <f t="shared" si="1"/>
        <v>24</v>
      </c>
      <c r="C26">
        <f t="shared" si="2"/>
        <v>0.68571428571428572</v>
      </c>
    </row>
    <row r="27" spans="1:3" x14ac:dyDescent="0.35">
      <c r="A27">
        <f t="shared" si="0"/>
        <v>10</v>
      </c>
      <c r="B27">
        <f t="shared" si="1"/>
        <v>25</v>
      </c>
      <c r="C27">
        <f t="shared" si="2"/>
        <v>0.7142857142857143</v>
      </c>
    </row>
    <row r="28" spans="1:3" x14ac:dyDescent="0.35">
      <c r="A28">
        <f t="shared" si="0"/>
        <v>9</v>
      </c>
      <c r="B28">
        <f t="shared" si="1"/>
        <v>26</v>
      </c>
      <c r="C28">
        <f t="shared" si="2"/>
        <v>0.74285714285714288</v>
      </c>
    </row>
    <row r="29" spans="1:3" x14ac:dyDescent="0.35">
      <c r="A29">
        <f t="shared" si="0"/>
        <v>8</v>
      </c>
      <c r="B29">
        <f t="shared" si="1"/>
        <v>27</v>
      </c>
      <c r="C29">
        <f t="shared" si="2"/>
        <v>0.77142857142857146</v>
      </c>
    </row>
    <row r="30" spans="1:3" x14ac:dyDescent="0.35">
      <c r="A30">
        <f t="shared" si="0"/>
        <v>7</v>
      </c>
      <c r="B30">
        <f t="shared" si="1"/>
        <v>28</v>
      </c>
      <c r="C30">
        <f t="shared" si="2"/>
        <v>0.8</v>
      </c>
    </row>
    <row r="31" spans="1:3" x14ac:dyDescent="0.35">
      <c r="A31">
        <f t="shared" si="0"/>
        <v>6</v>
      </c>
      <c r="B31">
        <f t="shared" si="1"/>
        <v>29</v>
      </c>
      <c r="C31">
        <f t="shared" si="2"/>
        <v>0.82857142857142863</v>
      </c>
    </row>
    <row r="32" spans="1:3" x14ac:dyDescent="0.35">
      <c r="A32">
        <f t="shared" si="0"/>
        <v>5</v>
      </c>
      <c r="B32">
        <f t="shared" si="1"/>
        <v>30</v>
      </c>
      <c r="C32">
        <f t="shared" si="2"/>
        <v>0.8571428571428571</v>
      </c>
    </row>
    <row r="33" spans="1:3" x14ac:dyDescent="0.35">
      <c r="A33">
        <f t="shared" si="0"/>
        <v>4</v>
      </c>
      <c r="B33">
        <f t="shared" si="1"/>
        <v>31</v>
      </c>
      <c r="C33">
        <f t="shared" si="2"/>
        <v>0.88571428571428568</v>
      </c>
    </row>
    <row r="34" spans="1:3" x14ac:dyDescent="0.35">
      <c r="A34">
        <f t="shared" si="0"/>
        <v>3</v>
      </c>
      <c r="B34">
        <f t="shared" si="1"/>
        <v>32</v>
      </c>
      <c r="C34">
        <f t="shared" si="2"/>
        <v>0.91428571428571426</v>
      </c>
    </row>
    <row r="35" spans="1:3" x14ac:dyDescent="0.35">
      <c r="A35">
        <f t="shared" ref="A35:A37" si="3">A34-1</f>
        <v>2</v>
      </c>
      <c r="B35">
        <f t="shared" si="1"/>
        <v>33</v>
      </c>
      <c r="C35">
        <f t="shared" ref="C35:C37" si="4">B35/(B35+A35)</f>
        <v>0.94285714285714284</v>
      </c>
    </row>
    <row r="36" spans="1:3" x14ac:dyDescent="0.35">
      <c r="A36">
        <f t="shared" si="3"/>
        <v>1</v>
      </c>
      <c r="B36">
        <f t="shared" si="1"/>
        <v>34</v>
      </c>
      <c r="C36">
        <f t="shared" si="4"/>
        <v>0.97142857142857142</v>
      </c>
    </row>
    <row r="37" spans="1:3" x14ac:dyDescent="0.35">
      <c r="A37">
        <f t="shared" si="3"/>
        <v>0</v>
      </c>
      <c r="B37">
        <f t="shared" si="1"/>
        <v>35</v>
      </c>
      <c r="C37">
        <f t="shared" si="4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9A1D-447C-43E2-B7A7-553415D910EA}">
  <dimension ref="A1:Y58"/>
  <sheetViews>
    <sheetView workbookViewId="0">
      <selection activeCell="Q42" sqref="Q42:U42"/>
    </sheetView>
  </sheetViews>
  <sheetFormatPr defaultRowHeight="14.5" x14ac:dyDescent="0.35"/>
  <cols>
    <col min="1" max="1" width="38.453125" bestFit="1" customWidth="1"/>
    <col min="2" max="2" width="8" bestFit="1" customWidth="1"/>
    <col min="3" max="3" width="16.81640625" bestFit="1" customWidth="1"/>
    <col min="4" max="4" width="8" bestFit="1" customWidth="1"/>
    <col min="5" max="5" width="10.54296875" bestFit="1" customWidth="1"/>
    <col min="6" max="6" width="8.81640625" bestFit="1" customWidth="1"/>
    <col min="7" max="7" width="16.26953125" bestFit="1" customWidth="1"/>
    <col min="9" max="9" width="10.1796875" bestFit="1" customWidth="1"/>
    <col min="11" max="11" width="10.1796875" bestFit="1" customWidth="1"/>
    <col min="12" max="12" width="16.81640625" bestFit="1" customWidth="1"/>
    <col min="13" max="14" width="16.81640625" customWidth="1"/>
    <col min="15" max="15" width="10.453125" bestFit="1" customWidth="1"/>
    <col min="17" max="17" width="10.453125" bestFit="1" customWidth="1"/>
    <col min="19" max="19" width="9.26953125" bestFit="1" customWidth="1"/>
    <col min="21" max="21" width="9.26953125" bestFit="1" customWidth="1"/>
  </cols>
  <sheetData>
    <row r="1" spans="1:25" x14ac:dyDescent="0.35">
      <c r="A1" t="s">
        <v>97</v>
      </c>
      <c r="C1" t="s">
        <v>90</v>
      </c>
      <c r="E1" t="s">
        <v>91</v>
      </c>
      <c r="G1" t="s">
        <v>92</v>
      </c>
      <c r="I1" t="s">
        <v>93</v>
      </c>
      <c r="K1" t="s">
        <v>94</v>
      </c>
      <c r="M1" t="s">
        <v>97</v>
      </c>
      <c r="O1" t="s">
        <v>95</v>
      </c>
      <c r="Q1" t="s">
        <v>96</v>
      </c>
      <c r="S1" t="s">
        <v>98</v>
      </c>
      <c r="U1" t="s">
        <v>99</v>
      </c>
      <c r="W1" t="s">
        <v>100</v>
      </c>
      <c r="Y1" t="s">
        <v>101</v>
      </c>
    </row>
    <row r="2" spans="1:25" x14ac:dyDescent="0.35">
      <c r="A2" t="s">
        <v>102</v>
      </c>
      <c r="C2" t="s">
        <v>103</v>
      </c>
      <c r="E2" t="s">
        <v>104</v>
      </c>
      <c r="G2" t="s">
        <v>103</v>
      </c>
      <c r="I2" t="s">
        <v>104</v>
      </c>
      <c r="K2" t="s">
        <v>103</v>
      </c>
      <c r="M2" t="s">
        <v>102</v>
      </c>
      <c r="O2" t="s">
        <v>105</v>
      </c>
      <c r="Q2" t="s">
        <v>103</v>
      </c>
      <c r="S2" t="s">
        <v>104</v>
      </c>
      <c r="U2" t="s">
        <v>105</v>
      </c>
    </row>
    <row r="3" spans="1:25" x14ac:dyDescent="0.35">
      <c r="A3" t="s">
        <v>106</v>
      </c>
      <c r="C3">
        <v>0.1</v>
      </c>
      <c r="E3">
        <v>0.1</v>
      </c>
      <c r="G3">
        <v>0.1</v>
      </c>
      <c r="I3">
        <v>0.1</v>
      </c>
      <c r="K3">
        <v>0.1</v>
      </c>
      <c r="M3" t="s">
        <v>106</v>
      </c>
      <c r="O3">
        <v>0.1</v>
      </c>
      <c r="Q3">
        <v>0.1</v>
      </c>
      <c r="S3">
        <v>0.1</v>
      </c>
      <c r="U3">
        <v>0.1</v>
      </c>
      <c r="W3">
        <v>0.1</v>
      </c>
      <c r="Y3">
        <v>0.1</v>
      </c>
    </row>
    <row r="4" spans="1:25" x14ac:dyDescent="0.35">
      <c r="A4" t="s">
        <v>107</v>
      </c>
      <c r="C4">
        <v>450</v>
      </c>
      <c r="E4">
        <v>450</v>
      </c>
      <c r="G4">
        <v>600</v>
      </c>
      <c r="I4">
        <v>600</v>
      </c>
      <c r="K4">
        <v>600</v>
      </c>
      <c r="M4" t="s">
        <v>107</v>
      </c>
      <c r="O4">
        <v>600</v>
      </c>
      <c r="Q4">
        <v>750</v>
      </c>
      <c r="S4">
        <v>750</v>
      </c>
      <c r="U4">
        <v>450</v>
      </c>
      <c r="W4">
        <v>750</v>
      </c>
      <c r="Y4">
        <v>750</v>
      </c>
    </row>
    <row r="5" spans="1:25" x14ac:dyDescent="0.35">
      <c r="A5" t="s">
        <v>108</v>
      </c>
      <c r="C5">
        <f>7*24</f>
        <v>168</v>
      </c>
      <c r="E5">
        <f>7*24</f>
        <v>168</v>
      </c>
      <c r="G5">
        <f>7*24</f>
        <v>168</v>
      </c>
      <c r="I5">
        <f>7*24</f>
        <v>168</v>
      </c>
      <c r="K5">
        <f>7*24</f>
        <v>168</v>
      </c>
      <c r="M5" t="s">
        <v>108</v>
      </c>
      <c r="O5">
        <f>7*24</f>
        <v>168</v>
      </c>
      <c r="Q5">
        <f>7*24</f>
        <v>168</v>
      </c>
      <c r="S5">
        <f>7*24</f>
        <v>168</v>
      </c>
      <c r="U5">
        <f>7*24</f>
        <v>168</v>
      </c>
      <c r="W5">
        <f>7*24</f>
        <v>168</v>
      </c>
      <c r="Y5">
        <f>7*24</f>
        <v>168</v>
      </c>
    </row>
    <row r="6" spans="1:25" x14ac:dyDescent="0.35">
      <c r="A6" t="s">
        <v>109</v>
      </c>
      <c r="C6" s="15">
        <v>45733</v>
      </c>
      <c r="D6" s="15"/>
      <c r="E6" s="15">
        <v>45735</v>
      </c>
      <c r="G6" s="15">
        <v>45747</v>
      </c>
      <c r="I6" s="15">
        <v>45782</v>
      </c>
      <c r="K6" s="15">
        <v>45757</v>
      </c>
      <c r="M6" t="s">
        <v>109</v>
      </c>
      <c r="O6" s="15">
        <v>45882</v>
      </c>
      <c r="Q6" s="15">
        <v>45882</v>
      </c>
      <c r="S6" s="15"/>
      <c r="U6" s="15"/>
    </row>
    <row r="8" spans="1:25" ht="15.5" x14ac:dyDescent="0.35">
      <c r="A8" s="16" t="s">
        <v>110</v>
      </c>
      <c r="B8" s="16"/>
      <c r="M8" s="16" t="s">
        <v>110</v>
      </c>
    </row>
    <row r="9" spans="1:25" x14ac:dyDescent="0.35">
      <c r="A9" t="s">
        <v>111</v>
      </c>
      <c r="B9" t="s">
        <v>112</v>
      </c>
      <c r="C9">
        <v>10.8178</v>
      </c>
      <c r="D9" t="s">
        <v>113</v>
      </c>
      <c r="E9">
        <v>16.967700000000001</v>
      </c>
      <c r="F9" t="s">
        <v>114</v>
      </c>
      <c r="G9">
        <v>13.8027</v>
      </c>
      <c r="H9" t="s">
        <v>115</v>
      </c>
      <c r="I9">
        <v>5.7878999999999996</v>
      </c>
      <c r="J9" t="s">
        <v>116</v>
      </c>
      <c r="K9">
        <v>8.1333000000000002</v>
      </c>
      <c r="M9" t="s">
        <v>111</v>
      </c>
      <c r="N9" t="s">
        <v>117</v>
      </c>
      <c r="O9">
        <v>13.001899999999999</v>
      </c>
      <c r="Q9">
        <v>18.357600000000001</v>
      </c>
      <c r="R9" t="s">
        <v>118</v>
      </c>
      <c r="S9">
        <v>4.9764999999999997</v>
      </c>
      <c r="T9" t="s">
        <v>119</v>
      </c>
      <c r="U9">
        <v>4.9375999999999998</v>
      </c>
    </row>
    <row r="10" spans="1:25" x14ac:dyDescent="0.35">
      <c r="A10" t="s">
        <v>120</v>
      </c>
      <c r="B10" t="s">
        <v>121</v>
      </c>
      <c r="C10">
        <v>9.8924000000000003</v>
      </c>
      <c r="D10" t="s">
        <v>122</v>
      </c>
      <c r="E10">
        <v>15.0975</v>
      </c>
      <c r="M10" t="s">
        <v>120</v>
      </c>
    </row>
    <row r="11" spans="1:25" x14ac:dyDescent="0.35">
      <c r="A11" t="s">
        <v>123</v>
      </c>
      <c r="C11">
        <v>214.51419999999999</v>
      </c>
      <c r="E11">
        <v>162.2039</v>
      </c>
      <c r="G11">
        <v>202.5943</v>
      </c>
      <c r="I11">
        <v>159.6575</v>
      </c>
      <c r="K11">
        <v>158.0147</v>
      </c>
      <c r="M11" t="s">
        <v>123</v>
      </c>
      <c r="O11">
        <v>211.08930000000001</v>
      </c>
      <c r="Q11">
        <v>191.965</v>
      </c>
      <c r="S11">
        <v>165.22499999999999</v>
      </c>
      <c r="U11">
        <v>182.8663</v>
      </c>
    </row>
    <row r="12" spans="1:25" x14ac:dyDescent="0.35">
      <c r="A12" s="14" t="s">
        <v>124</v>
      </c>
      <c r="B12" s="14"/>
      <c r="C12">
        <v>215.37190000000001</v>
      </c>
      <c r="E12">
        <v>162.88980000000001</v>
      </c>
      <c r="G12">
        <v>217.1722</v>
      </c>
      <c r="I12">
        <v>166.00470000000001</v>
      </c>
      <c r="K12">
        <v>166.99549999999999</v>
      </c>
      <c r="M12" s="14" t="s">
        <v>124</v>
      </c>
      <c r="N12">
        <v>0.87119999999999997</v>
      </c>
      <c r="P12">
        <v>1.488</v>
      </c>
    </row>
    <row r="13" spans="1:25" x14ac:dyDescent="0.35">
      <c r="A13" t="s">
        <v>125</v>
      </c>
      <c r="B13">
        <v>0.87119999999999997</v>
      </c>
      <c r="C13" s="17">
        <f>C12-C11</f>
        <v>0.85770000000002256</v>
      </c>
      <c r="D13">
        <v>0.87119999999999997</v>
      </c>
      <c r="E13" s="17">
        <f>E12-E11</f>
        <v>0.68590000000000373</v>
      </c>
      <c r="F13">
        <v>0.87119999999999997</v>
      </c>
      <c r="G13" s="17">
        <f>G12-G14</f>
        <v>0.77080000000000837</v>
      </c>
      <c r="H13">
        <v>0.58079999999999998</v>
      </c>
      <c r="I13" s="17">
        <f>I12-I14</f>
        <v>2.8900000000021464E-2</v>
      </c>
      <c r="J13">
        <v>0.87119999999999997</v>
      </c>
      <c r="K13" s="17">
        <f>K12-K14</f>
        <v>0.84739999999999327</v>
      </c>
      <c r="M13" t="s">
        <v>125</v>
      </c>
      <c r="O13" s="17">
        <f>O12-O14</f>
        <v>-224.05629999999999</v>
      </c>
      <c r="Q13" s="17">
        <f>Q12-Q14</f>
        <v>-209.83070000000001</v>
      </c>
      <c r="S13" s="17">
        <f>S12-S14</f>
        <v>-170.2047</v>
      </c>
      <c r="U13" s="17">
        <f>U12-U14</f>
        <v>-187.8109</v>
      </c>
    </row>
    <row r="14" spans="1:25" x14ac:dyDescent="0.35">
      <c r="A14" s="14" t="s">
        <v>126</v>
      </c>
      <c r="C14">
        <v>236.0975</v>
      </c>
      <c r="E14">
        <v>194.93450000000001</v>
      </c>
      <c r="G14">
        <v>216.4014</v>
      </c>
      <c r="I14">
        <v>165.97579999999999</v>
      </c>
      <c r="K14">
        <v>166.1481</v>
      </c>
      <c r="M14" s="14" t="s">
        <v>126</v>
      </c>
      <c r="O14">
        <v>224.05629999999999</v>
      </c>
      <c r="Q14">
        <v>209.83070000000001</v>
      </c>
      <c r="S14">
        <v>170.2047</v>
      </c>
      <c r="U14">
        <v>187.8109</v>
      </c>
    </row>
    <row r="15" spans="1:25" x14ac:dyDescent="0.35">
      <c r="A15" t="s">
        <v>127</v>
      </c>
      <c r="C15" s="17">
        <f>C14-C13-C11</f>
        <v>20.725599999999986</v>
      </c>
      <c r="E15" s="17">
        <f>E14-E13-E11</f>
        <v>32.044700000000006</v>
      </c>
      <c r="G15" s="17">
        <f>G14-G11</f>
        <v>13.807099999999991</v>
      </c>
      <c r="I15" s="17">
        <f>I14-I11</f>
        <v>6.3182999999999936</v>
      </c>
      <c r="K15" s="17">
        <f>K14-K11</f>
        <v>8.1333999999999946</v>
      </c>
      <c r="M15" t="s">
        <v>127</v>
      </c>
      <c r="O15" s="17">
        <f>O14-O11</f>
        <v>12.966999999999985</v>
      </c>
      <c r="Q15" s="17">
        <f>Q14-Q11</f>
        <v>17.865700000000004</v>
      </c>
      <c r="S15" s="17">
        <f>S14-S11</f>
        <v>4.9797000000000082</v>
      </c>
      <c r="U15" s="17">
        <f>U14-U11</f>
        <v>4.9446000000000083</v>
      </c>
    </row>
    <row r="16" spans="1:25" x14ac:dyDescent="0.35">
      <c r="A16" t="s">
        <v>128</v>
      </c>
      <c r="C16">
        <v>1322.5</v>
      </c>
      <c r="E16">
        <v>1330.1</v>
      </c>
      <c r="G16">
        <v>1248.5</v>
      </c>
      <c r="I16">
        <v>1080.3</v>
      </c>
      <c r="K16">
        <v>1086.7</v>
      </c>
      <c r="M16" t="s">
        <v>128</v>
      </c>
      <c r="O16">
        <v>1328.5</v>
      </c>
      <c r="Q16">
        <v>1364.5</v>
      </c>
      <c r="S16">
        <v>1472.4</v>
      </c>
      <c r="U16">
        <v>1461.1</v>
      </c>
    </row>
    <row r="17" spans="1:21" x14ac:dyDescent="0.35">
      <c r="A17" s="14" t="s">
        <v>129</v>
      </c>
      <c r="B17" s="14"/>
      <c r="C17">
        <v>1328.9</v>
      </c>
      <c r="G17">
        <v>1254.5999999999999</v>
      </c>
      <c r="K17">
        <v>1092.7</v>
      </c>
      <c r="M17" s="14" t="s">
        <v>124</v>
      </c>
      <c r="N17">
        <f>O16+N18</f>
        <v>1329.3712</v>
      </c>
      <c r="O17">
        <v>1329.3</v>
      </c>
      <c r="P17">
        <f>Q16+P18</f>
        <v>1365.9880000000001</v>
      </c>
      <c r="Q17">
        <v>1365.6</v>
      </c>
      <c r="R17">
        <f>S16+R18</f>
        <v>1473.8880000000001</v>
      </c>
      <c r="S17">
        <v>1474</v>
      </c>
      <c r="T17">
        <f>U16+T18</f>
        <v>1461.9712</v>
      </c>
      <c r="U17">
        <v>1461.9</v>
      </c>
    </row>
    <row r="18" spans="1:21" x14ac:dyDescent="0.35">
      <c r="A18" t="s">
        <v>130</v>
      </c>
      <c r="C18" s="17">
        <f>C17-C16</f>
        <v>6.4000000000000909</v>
      </c>
      <c r="E18" s="17"/>
      <c r="G18" s="17">
        <f>G17-G16</f>
        <v>6.0999999999999091</v>
      </c>
      <c r="I18" s="17"/>
      <c r="K18" s="17">
        <f>K17-K16</f>
        <v>6</v>
      </c>
      <c r="M18" t="s">
        <v>125</v>
      </c>
      <c r="N18">
        <v>0.87119999999999997</v>
      </c>
      <c r="O18" s="17">
        <f>O17-O16</f>
        <v>0.79999999999995453</v>
      </c>
      <c r="P18">
        <v>1.488</v>
      </c>
      <c r="Q18" s="17">
        <f>Q17-Q16</f>
        <v>1.0999999999999091</v>
      </c>
      <c r="R18">
        <v>1.488</v>
      </c>
      <c r="S18" s="17">
        <f>S17-S16</f>
        <v>1.5999999999999091</v>
      </c>
      <c r="T18">
        <v>0.87119999999999997</v>
      </c>
      <c r="U18" s="17">
        <f>U17-U16</f>
        <v>0.8000000000001819</v>
      </c>
    </row>
    <row r="19" spans="1:21" x14ac:dyDescent="0.35">
      <c r="A19" s="14" t="s">
        <v>131</v>
      </c>
      <c r="C19">
        <v>1465.9</v>
      </c>
      <c r="E19">
        <v>1447.8</v>
      </c>
      <c r="G19">
        <v>1387.4</v>
      </c>
      <c r="I19">
        <v>1192.7</v>
      </c>
      <c r="K19">
        <v>1244.0999999999999</v>
      </c>
      <c r="M19" s="14" t="s">
        <v>132</v>
      </c>
      <c r="N19">
        <f>O17+N20</f>
        <v>1361.3</v>
      </c>
      <c r="O19">
        <v>1370.5</v>
      </c>
      <c r="P19">
        <f>Q18+P20</f>
        <v>1.0999999999999091</v>
      </c>
      <c r="Q19">
        <v>1370.9</v>
      </c>
      <c r="S19">
        <v>1474</v>
      </c>
      <c r="T19">
        <f>U17+T20</f>
        <v>1493.9</v>
      </c>
      <c r="U19">
        <v>1506.4</v>
      </c>
    </row>
    <row r="20" spans="1:21" x14ac:dyDescent="0.35">
      <c r="A20" t="s">
        <v>133</v>
      </c>
      <c r="B20">
        <v>120</v>
      </c>
      <c r="C20" s="17">
        <f>C19-C17</f>
        <v>137</v>
      </c>
      <c r="D20">
        <v>120</v>
      </c>
      <c r="E20" s="17">
        <f>E19-E16</f>
        <v>117.70000000000005</v>
      </c>
      <c r="G20" s="17">
        <f>G19-G17</f>
        <v>132.80000000000018</v>
      </c>
      <c r="H20">
        <v>80</v>
      </c>
      <c r="I20" s="17">
        <f>I19-I16</f>
        <v>112.40000000000009</v>
      </c>
      <c r="J20">
        <v>120</v>
      </c>
      <c r="K20" s="17">
        <f>K19-K16</f>
        <v>157.39999999999986</v>
      </c>
      <c r="M20" t="s">
        <v>134</v>
      </c>
      <c r="N20">
        <v>32</v>
      </c>
      <c r="O20" s="17">
        <f>O19-O17</f>
        <v>41.200000000000045</v>
      </c>
      <c r="Q20" s="17">
        <f>Q19-Q17</f>
        <v>5.3000000000001819</v>
      </c>
      <c r="S20" s="17">
        <f>S19-S17</f>
        <v>0</v>
      </c>
      <c r="T20">
        <v>32</v>
      </c>
      <c r="U20" s="17">
        <f>U19-U17</f>
        <v>44.5</v>
      </c>
    </row>
    <row r="21" spans="1:21" x14ac:dyDescent="0.35">
      <c r="A21" t="s">
        <v>135</v>
      </c>
      <c r="C21" s="17">
        <f>C18+D24+C13</f>
        <v>143.85770000000002</v>
      </c>
      <c r="E21" s="17">
        <f>E18+F24+E13</f>
        <v>113.1859</v>
      </c>
      <c r="G21" s="17">
        <f>G18+H24+G13</f>
        <v>136.07079999999996</v>
      </c>
      <c r="I21" s="17">
        <f>I18+J24+I13</f>
        <v>96.828899999999976</v>
      </c>
      <c r="K21" s="17">
        <f>K18+L24+K13</f>
        <v>98.947399999999902</v>
      </c>
      <c r="M21" s="14" t="s">
        <v>131</v>
      </c>
      <c r="O21">
        <v>1498.7</v>
      </c>
      <c r="Q21">
        <v>1499.9</v>
      </c>
      <c r="S21">
        <v>1600.3</v>
      </c>
      <c r="U21">
        <v>1658.1</v>
      </c>
    </row>
    <row r="22" spans="1:21" x14ac:dyDescent="0.35">
      <c r="A22" t="s">
        <v>136</v>
      </c>
      <c r="C22" s="18">
        <f>(C18*0.001)/((C20*0.000001)*(22.9898+18.998))</f>
        <v>1.1125929071576495</v>
      </c>
      <c r="D22" s="20"/>
      <c r="E22" s="18">
        <f>(E18*0.001)/((E20*0.000001)*(22.9898+18.998))</f>
        <v>0</v>
      </c>
      <c r="G22" s="18">
        <f>(G18*0.001)/((G20*0.000001)*(22.9898+18.998))</f>
        <v>1.0939781303082869</v>
      </c>
      <c r="I22" s="18">
        <f>(I18*0.001)/((I20*0.000001)*(22.9898+18.998))</f>
        <v>0</v>
      </c>
      <c r="K22" s="18">
        <f>(K18*0.001)/((K20*0.000001)*(22.9898+18.998))</f>
        <v>0.90786945052769175</v>
      </c>
      <c r="M22" t="s">
        <v>137</v>
      </c>
      <c r="O22" s="17">
        <f>O21-O19</f>
        <v>128.20000000000005</v>
      </c>
      <c r="P22">
        <f>P21-O19</f>
        <v>-1370.5</v>
      </c>
      <c r="Q22" s="17">
        <f>Q21-Q19</f>
        <v>129</v>
      </c>
      <c r="S22" s="17">
        <f>S21-S19</f>
        <v>126.29999999999995</v>
      </c>
      <c r="T22">
        <f>T21-S19</f>
        <v>-1474</v>
      </c>
      <c r="U22" s="17">
        <f>U21-U19</f>
        <v>151.69999999999982</v>
      </c>
    </row>
    <row r="23" spans="1:21" x14ac:dyDescent="0.35">
      <c r="A23" t="s">
        <v>138</v>
      </c>
      <c r="C23">
        <v>1465.5</v>
      </c>
      <c r="E23">
        <v>1442.7</v>
      </c>
      <c r="G23">
        <v>1383.9</v>
      </c>
      <c r="I23">
        <v>1177.0999999999999</v>
      </c>
      <c r="K23">
        <v>1184.9000000000001</v>
      </c>
      <c r="M23" t="s">
        <v>135</v>
      </c>
      <c r="O23" s="17">
        <f>O18+O22+O20</f>
        <v>170.20000000000005</v>
      </c>
      <c r="Q23" s="17">
        <f>Q18+Q22+Q20</f>
        <v>135.40000000000009</v>
      </c>
      <c r="S23" s="17">
        <f>S18+S22+S20</f>
        <v>127.89999999999986</v>
      </c>
      <c r="U23" s="17">
        <f>U18+U22+U20</f>
        <v>197</v>
      </c>
    </row>
    <row r="24" spans="1:21" x14ac:dyDescent="0.35">
      <c r="A24" t="s">
        <v>139</v>
      </c>
      <c r="C24">
        <v>1465.5</v>
      </c>
      <c r="D24">
        <f>C24-C17</f>
        <v>136.59999999999991</v>
      </c>
      <c r="E24">
        <v>1442.6</v>
      </c>
      <c r="F24">
        <f>E24-E16</f>
        <v>112.5</v>
      </c>
      <c r="G24">
        <v>1383.8</v>
      </c>
      <c r="H24">
        <f>G24-G17</f>
        <v>129.20000000000005</v>
      </c>
      <c r="I24">
        <v>1177.0999999999999</v>
      </c>
      <c r="J24">
        <f>I24-I16</f>
        <v>96.799999999999955</v>
      </c>
      <c r="K24">
        <v>1184.8</v>
      </c>
      <c r="L24">
        <f>K24-K17</f>
        <v>92.099999999999909</v>
      </c>
      <c r="M24" t="s">
        <v>136</v>
      </c>
      <c r="O24" s="18">
        <f>(O20*0.001)/((O22*0.000001)*(22.9898+17.008))</f>
        <v>8.0347632848355879</v>
      </c>
      <c r="Q24" s="18">
        <f>(Q20*0.001)/((Q22*0.000001)*(22.9898+17.008))</f>
        <v>1.0271882783010784</v>
      </c>
      <c r="S24" s="18">
        <f>(S20*0.001)/((S22*0.000001)*(22.9898+17.008))</f>
        <v>0</v>
      </c>
      <c r="U24" s="18">
        <f>(U20*0.001)/((U22*0.000001)*(22.9898+17.008))</f>
        <v>7.3339564328641993</v>
      </c>
    </row>
    <row r="25" spans="1:21" x14ac:dyDescent="0.35">
      <c r="M25" t="s">
        <v>138</v>
      </c>
      <c r="N25">
        <f>O25-O19</f>
        <v>120.79999999999995</v>
      </c>
      <c r="O25">
        <v>1491.3</v>
      </c>
      <c r="P25">
        <f>Q25-Q19</f>
        <v>124.09999999999991</v>
      </c>
      <c r="Q25" s="30">
        <v>1495</v>
      </c>
      <c r="R25">
        <f>S25-S19</f>
        <v>105.59999999999991</v>
      </c>
      <c r="S25">
        <v>1579.6</v>
      </c>
      <c r="T25">
        <f>U25-U19</f>
        <v>142.89999999999986</v>
      </c>
      <c r="U25" s="30">
        <v>1649.3</v>
      </c>
    </row>
    <row r="26" spans="1:21" ht="15.5" x14ac:dyDescent="0.35">
      <c r="A26" s="16" t="s">
        <v>140</v>
      </c>
      <c r="B26" s="16"/>
      <c r="G26" t="s">
        <v>141</v>
      </c>
      <c r="M26" t="s">
        <v>139</v>
      </c>
      <c r="O26">
        <v>1491.3</v>
      </c>
      <c r="Q26">
        <v>1494.9</v>
      </c>
      <c r="S26">
        <v>1574.7</v>
      </c>
      <c r="U26">
        <v>1643.8</v>
      </c>
    </row>
    <row r="27" spans="1:21" x14ac:dyDescent="0.35">
      <c r="A27" t="s">
        <v>142</v>
      </c>
      <c r="C27">
        <v>1442.3</v>
      </c>
      <c r="E27">
        <v>1450.3</v>
      </c>
      <c r="G27">
        <v>1421.4</v>
      </c>
      <c r="I27">
        <v>1177.0999999999999</v>
      </c>
      <c r="K27">
        <v>1161.0999999999999</v>
      </c>
    </row>
    <row r="28" spans="1:21" ht="15.5" x14ac:dyDescent="0.35">
      <c r="A28" t="s">
        <v>143</v>
      </c>
      <c r="C28" s="17">
        <f>C24-C27</f>
        <v>23.200000000000045</v>
      </c>
      <c r="E28" s="17">
        <f>E24-E27</f>
        <v>-7.7000000000000455</v>
      </c>
      <c r="G28" s="17">
        <f>G24-G27</f>
        <v>-37.600000000000136</v>
      </c>
      <c r="I28" s="17">
        <f>I24-I27</f>
        <v>0</v>
      </c>
      <c r="K28" s="17">
        <f>K24-K27</f>
        <v>23.700000000000045</v>
      </c>
      <c r="M28" s="16" t="s">
        <v>140</v>
      </c>
    </row>
    <row r="29" spans="1:21" x14ac:dyDescent="0.35">
      <c r="A29" t="s">
        <v>133</v>
      </c>
      <c r="C29" s="17">
        <f>C27-C17</f>
        <v>113.39999999999986</v>
      </c>
      <c r="E29" s="17"/>
      <c r="G29" s="17">
        <f>G27-G17</f>
        <v>166.80000000000018</v>
      </c>
      <c r="I29" s="17">
        <f>I27-I17</f>
        <v>1177.0999999999999</v>
      </c>
      <c r="K29" s="17">
        <f>K27-K17</f>
        <v>68.399999999999864</v>
      </c>
      <c r="M29" t="s">
        <v>142</v>
      </c>
      <c r="O29">
        <v>1466.7</v>
      </c>
      <c r="Q29">
        <v>1494.1</v>
      </c>
      <c r="S29">
        <v>1493.2</v>
      </c>
      <c r="U29">
        <v>1646.6</v>
      </c>
    </row>
    <row r="30" spans="1:21" x14ac:dyDescent="0.35">
      <c r="A30" t="s">
        <v>144</v>
      </c>
      <c r="C30">
        <v>1395.5</v>
      </c>
      <c r="E30">
        <v>1405.8</v>
      </c>
      <c r="G30">
        <v>1393.6</v>
      </c>
      <c r="I30">
        <v>3075.5</v>
      </c>
      <c r="K30">
        <v>3130.5</v>
      </c>
      <c r="M30" t="s">
        <v>143</v>
      </c>
      <c r="O30" s="17">
        <f>O26-O29</f>
        <v>24.599999999999909</v>
      </c>
      <c r="Q30" s="17">
        <f>Q26-Q29</f>
        <v>0.8000000000001819</v>
      </c>
      <c r="S30" s="17">
        <f>S26-S29</f>
        <v>81.5</v>
      </c>
      <c r="U30" s="17">
        <f>U26-U29</f>
        <v>-2.7999999999999545</v>
      </c>
    </row>
    <row r="31" spans="1:21" x14ac:dyDescent="0.35">
      <c r="A31" t="s">
        <v>145</v>
      </c>
      <c r="C31">
        <v>1456.4</v>
      </c>
      <c r="D31">
        <f>C31-C30</f>
        <v>60.900000000000091</v>
      </c>
      <c r="E31">
        <v>1436.2</v>
      </c>
      <c r="F31">
        <f>E31-E30</f>
        <v>30.400000000000091</v>
      </c>
      <c r="G31">
        <v>1533</v>
      </c>
      <c r="H31">
        <f>G31-G30</f>
        <v>139.40000000000009</v>
      </c>
      <c r="I31">
        <v>3160.2</v>
      </c>
      <c r="J31">
        <f>I31-I30</f>
        <v>84.699999999999818</v>
      </c>
      <c r="K31">
        <v>3186.1</v>
      </c>
      <c r="L31">
        <f>K31-K30</f>
        <v>55.599999999999909</v>
      </c>
      <c r="M31" t="s">
        <v>133</v>
      </c>
      <c r="O31" s="17">
        <f>O29-O19</f>
        <v>96.200000000000045</v>
      </c>
      <c r="Q31" s="17">
        <f>Q29-Q19</f>
        <v>123.19999999999982</v>
      </c>
      <c r="S31" s="17">
        <f>S29-S19</f>
        <v>19.200000000000045</v>
      </c>
      <c r="U31" s="17">
        <f>U29-U19</f>
        <v>140.19999999999982</v>
      </c>
    </row>
    <row r="32" spans="1:21" x14ac:dyDescent="0.35">
      <c r="A32" t="s">
        <v>146</v>
      </c>
      <c r="C32">
        <v>4215.3</v>
      </c>
      <c r="D32">
        <f>C32-C31</f>
        <v>2758.9</v>
      </c>
      <c r="E32">
        <v>4170.8</v>
      </c>
      <c r="F32">
        <f>E32-E31</f>
        <v>2734.6000000000004</v>
      </c>
      <c r="G32">
        <v>4181.2</v>
      </c>
      <c r="H32">
        <f>G32-G31</f>
        <v>2648.2</v>
      </c>
      <c r="I32">
        <v>3450.8</v>
      </c>
      <c r="J32">
        <f>I32-I31</f>
        <v>290.60000000000036</v>
      </c>
      <c r="K32">
        <v>3501.7</v>
      </c>
      <c r="L32">
        <f>K32-K31</f>
        <v>315.59999999999991</v>
      </c>
      <c r="M32" t="s">
        <v>144</v>
      </c>
      <c r="O32">
        <v>3115.7</v>
      </c>
      <c r="Q32">
        <v>3096.3</v>
      </c>
      <c r="S32">
        <v>3132.8</v>
      </c>
      <c r="U32">
        <v>3075.6</v>
      </c>
    </row>
    <row r="33" spans="1:21" x14ac:dyDescent="0.35">
      <c r="A33" t="s">
        <v>147</v>
      </c>
      <c r="C33" s="17">
        <f>C31-C30</f>
        <v>60.900000000000091</v>
      </c>
      <c r="E33" s="17">
        <f>E31-E30</f>
        <v>30.400000000000091</v>
      </c>
      <c r="G33" s="17">
        <f>G31-G30</f>
        <v>139.40000000000009</v>
      </c>
      <c r="I33" s="17">
        <f>I31-I30</f>
        <v>84.699999999999818</v>
      </c>
      <c r="K33" s="17">
        <f>K31-K30</f>
        <v>55.599999999999909</v>
      </c>
      <c r="M33" t="s">
        <v>145</v>
      </c>
      <c r="O33">
        <v>3222.2</v>
      </c>
      <c r="Q33">
        <v>3287.3</v>
      </c>
      <c r="S33">
        <v>3139.5</v>
      </c>
      <c r="U33">
        <v>3223.2</v>
      </c>
    </row>
    <row r="34" spans="1:21" x14ac:dyDescent="0.35">
      <c r="A34" t="s">
        <v>148</v>
      </c>
      <c r="C34" s="17">
        <f>C21-C33</f>
        <v>82.957699999999932</v>
      </c>
      <c r="E34" s="17">
        <f>E21-E33</f>
        <v>82.785899999999913</v>
      </c>
      <c r="G34" s="17">
        <f>G21-G33</f>
        <v>-3.3292000000001281</v>
      </c>
      <c r="I34" s="17">
        <f>I21-I33</f>
        <v>12.128900000000158</v>
      </c>
      <c r="K34" s="17">
        <f>K21-K33</f>
        <v>43.347399999999993</v>
      </c>
      <c r="M34" t="s">
        <v>146</v>
      </c>
      <c r="O34">
        <v>3484.8</v>
      </c>
      <c r="Q34">
        <v>3479.4</v>
      </c>
      <c r="S34">
        <v>3507.3</v>
      </c>
      <c r="U34">
        <v>3438.9</v>
      </c>
    </row>
    <row r="35" spans="1:21" x14ac:dyDescent="0.35">
      <c r="A35" t="s">
        <v>149</v>
      </c>
      <c r="C35">
        <v>235.84394</v>
      </c>
      <c r="E35">
        <v>194.22970000000001</v>
      </c>
      <c r="G35">
        <v>216.78360000000001</v>
      </c>
      <c r="I35">
        <v>157.6156</v>
      </c>
      <c r="K35">
        <v>166.1626</v>
      </c>
      <c r="M35" t="s">
        <v>147</v>
      </c>
      <c r="O35" s="17">
        <f>O33-O32</f>
        <v>106.5</v>
      </c>
      <c r="Q35" s="17">
        <f>Q33-Q32</f>
        <v>191</v>
      </c>
      <c r="S35" s="17">
        <f>S33-S32</f>
        <v>6.6999999999998181</v>
      </c>
      <c r="U35" s="17">
        <f>U33-U32</f>
        <v>147.59999999999991</v>
      </c>
    </row>
    <row r="36" spans="1:21" x14ac:dyDescent="0.35">
      <c r="A36" t="s">
        <v>150</v>
      </c>
      <c r="C36" s="17">
        <f>C14-C35</f>
        <v>0.25355999999999312</v>
      </c>
      <c r="E36" s="17">
        <f>E14-E35</f>
        <v>0.70480000000000587</v>
      </c>
      <c r="G36" s="17">
        <f>G14-G35</f>
        <v>-0.38220000000001164</v>
      </c>
      <c r="I36" s="17">
        <f>I14-I35</f>
        <v>8.3601999999999919</v>
      </c>
      <c r="K36" s="17">
        <f>K14-K35</f>
        <v>-1.4499999999998181E-2</v>
      </c>
      <c r="M36" t="s">
        <v>148</v>
      </c>
      <c r="O36" s="17">
        <f>O23-O35</f>
        <v>63.700000000000045</v>
      </c>
      <c r="Q36" s="17">
        <f>Q23-Q35</f>
        <v>-55.599999999999909</v>
      </c>
      <c r="S36" s="17">
        <f>S23-S35</f>
        <v>121.20000000000005</v>
      </c>
      <c r="U36" s="17">
        <f>U23-U35</f>
        <v>49.400000000000091</v>
      </c>
    </row>
    <row r="37" spans="1:21" x14ac:dyDescent="0.35">
      <c r="A37" t="s">
        <v>111</v>
      </c>
      <c r="C37">
        <v>10.8438</v>
      </c>
      <c r="E37">
        <v>16.412600000000001</v>
      </c>
      <c r="G37">
        <v>13.6615</v>
      </c>
      <c r="I37">
        <v>5.7675000000000001</v>
      </c>
      <c r="K37">
        <v>7.7248000000000001</v>
      </c>
      <c r="M37" t="s">
        <v>149</v>
      </c>
      <c r="O37">
        <v>224.01820000000001</v>
      </c>
      <c r="Q37">
        <v>209.78870000000001</v>
      </c>
      <c r="S37">
        <v>170.2073</v>
      </c>
      <c r="U37">
        <v>187.76329999999999</v>
      </c>
    </row>
    <row r="38" spans="1:21" x14ac:dyDescent="0.35">
      <c r="A38" t="s">
        <v>120</v>
      </c>
      <c r="C38">
        <v>9.8995999999999995</v>
      </c>
      <c r="E38">
        <v>14.916600000000001</v>
      </c>
      <c r="M38" t="s">
        <v>150</v>
      </c>
      <c r="O38" s="17">
        <f>O14-O37</f>
        <v>3.8099999999985812E-2</v>
      </c>
      <c r="Q38" s="17">
        <f>Q14-Q37</f>
        <v>4.2000000000001592E-2</v>
      </c>
      <c r="S38" s="17">
        <f>S14-S37</f>
        <v>-2.6000000000010459E-3</v>
      </c>
      <c r="U38" s="17">
        <f>U14-U37</f>
        <v>4.7600000000016962E-2</v>
      </c>
    </row>
    <row r="39" spans="1:21" x14ac:dyDescent="0.35">
      <c r="A39" t="s">
        <v>151</v>
      </c>
      <c r="C39" s="17">
        <f>(C9+C10)-(C37+C38)</f>
        <v>-3.3200000000000784E-2</v>
      </c>
      <c r="E39" s="17">
        <f>(E9+E10)-(E37+E38)</f>
        <v>0.73600000000000421</v>
      </c>
      <c r="G39" s="17">
        <f>(G9+G10)-(G37+G38)</f>
        <v>0.14119999999999955</v>
      </c>
      <c r="I39" s="17">
        <f>(I9+I10)-(I37+I38)</f>
        <v>2.039999999999953E-2</v>
      </c>
      <c r="K39" s="17">
        <f>(K9+K10)-(K37+K38)</f>
        <v>0.40850000000000009</v>
      </c>
      <c r="M39" t="s">
        <v>111</v>
      </c>
      <c r="O39">
        <v>12.9262</v>
      </c>
      <c r="Q39">
        <v>16.504200000000001</v>
      </c>
      <c r="S39">
        <v>4.7793999999999999</v>
      </c>
      <c r="U39">
        <v>4.9188999999999998</v>
      </c>
    </row>
    <row r="40" spans="1:21" x14ac:dyDescent="0.35">
      <c r="A40" t="s">
        <v>152</v>
      </c>
      <c r="C40" s="24">
        <f>C39/(C39+C21)</f>
        <v>-2.308368880128266E-4</v>
      </c>
      <c r="D40" s="21"/>
      <c r="E40" s="24">
        <f>E39/(E39+E21)</f>
        <v>6.4605664055814045E-3</v>
      </c>
      <c r="G40" s="24">
        <f>G39/(G39+G21)</f>
        <v>1.0366193874254807E-3</v>
      </c>
      <c r="I40" s="25">
        <f>I39/(I39+I21)</f>
        <v>2.1063652499294817E-4</v>
      </c>
      <c r="K40" s="24">
        <f>K39/(K39+K21)</f>
        <v>4.1114820559221997E-3</v>
      </c>
      <c r="M40" t="s">
        <v>120</v>
      </c>
    </row>
    <row r="41" spans="1:21" x14ac:dyDescent="0.35">
      <c r="A41" t="s">
        <v>153</v>
      </c>
      <c r="C41">
        <v>1.1862999999999999</v>
      </c>
      <c r="E41">
        <v>3</v>
      </c>
      <c r="G41">
        <v>1.1862999999999999</v>
      </c>
      <c r="I41" t="s">
        <v>154</v>
      </c>
      <c r="K41">
        <v>7.5499999999999998E-2</v>
      </c>
      <c r="M41" t="s">
        <v>151</v>
      </c>
      <c r="O41" s="17">
        <f>(O9+O10)-(O39+O40)</f>
        <v>7.5699999999999434E-2</v>
      </c>
      <c r="Q41" s="17">
        <f>(Q9+Q10)-(Q39+Q40)</f>
        <v>1.8534000000000006</v>
      </c>
      <c r="S41" s="17">
        <f>(S9+S10)-(S39+S40)</f>
        <v>0.19709999999999983</v>
      </c>
      <c r="U41" s="17">
        <f>(U9+U10)-(U39+U40)</f>
        <v>1.8699999999999939E-2</v>
      </c>
    </row>
    <row r="42" spans="1:21" x14ac:dyDescent="0.35">
      <c r="A42" t="s">
        <v>155</v>
      </c>
      <c r="C42" s="24">
        <f>C41/(C41+C21)</f>
        <v>8.1788974380188062E-3</v>
      </c>
      <c r="D42" s="21"/>
      <c r="E42" s="24">
        <f>E41/(E41+E21)</f>
        <v>2.5820689085336516E-2</v>
      </c>
      <c r="G42" s="24">
        <f>G41/(G41+G21)</f>
        <v>8.6429044472016402E-3</v>
      </c>
      <c r="I42" s="25"/>
      <c r="K42" s="24">
        <f>K41/(K41+K21)</f>
        <v>7.6244989795289846E-4</v>
      </c>
      <c r="M42" t="s">
        <v>152</v>
      </c>
      <c r="O42" s="25">
        <f>O41/(O41+O23)</f>
        <v>4.4457312464432337E-4</v>
      </c>
      <c r="Q42" s="25">
        <f>Q41/(Q41+Q23)</f>
        <v>1.3503490623911681E-2</v>
      </c>
      <c r="R42" s="31"/>
      <c r="S42" s="25">
        <f>S41/(S41+S23)</f>
        <v>1.5386765196089532E-3</v>
      </c>
      <c r="T42" s="31"/>
      <c r="U42" s="25">
        <f>U41/(U41+U23)</f>
        <v>9.4914848184461366E-5</v>
      </c>
    </row>
    <row r="43" spans="1:21" x14ac:dyDescent="0.35">
      <c r="A43" t="s">
        <v>156</v>
      </c>
      <c r="C43" s="26">
        <f>C36/(C36+C29)</f>
        <v>2.2309903886864033E-3</v>
      </c>
      <c r="E43" s="26">
        <f>E36/(E36+E21)</f>
        <v>6.1883893943930962E-3</v>
      </c>
      <c r="G43" s="26">
        <f>G36/(G36+G29)</f>
        <v>-2.296629326911011E-3</v>
      </c>
      <c r="I43" s="26">
        <f>I36/(I36+I29)</f>
        <v>7.0522823119662662E-3</v>
      </c>
      <c r="K43" s="26">
        <f>K36/(K36+K29)</f>
        <v>-2.120332526631846E-4</v>
      </c>
      <c r="M43" t="s">
        <v>153</v>
      </c>
    </row>
    <row r="44" spans="1:21" x14ac:dyDescent="0.35">
      <c r="M44" t="s">
        <v>155</v>
      </c>
      <c r="O44" s="19">
        <f>O43/(O43+O23)</f>
        <v>0</v>
      </c>
      <c r="Q44" s="19">
        <f>Q43/(Q43+Q23)</f>
        <v>0</v>
      </c>
      <c r="S44" s="19">
        <f>S43/(S43+S23)</f>
        <v>0</v>
      </c>
      <c r="U44" s="19">
        <f>U43/(U43+U23)</f>
        <v>0</v>
      </c>
    </row>
    <row r="46" spans="1:21" x14ac:dyDescent="0.35">
      <c r="A46" t="s">
        <v>97</v>
      </c>
      <c r="C46" t="s">
        <v>90</v>
      </c>
      <c r="E46" t="s">
        <v>91</v>
      </c>
      <c r="G46" t="s">
        <v>92</v>
      </c>
      <c r="I46" t="s">
        <v>93</v>
      </c>
      <c r="K46" t="s">
        <v>94</v>
      </c>
    </row>
    <row r="47" spans="1:21" x14ac:dyDescent="0.35">
      <c r="A47" t="s">
        <v>102</v>
      </c>
      <c r="C47" t="s">
        <v>103</v>
      </c>
      <c r="E47" t="s">
        <v>104</v>
      </c>
      <c r="G47" t="s">
        <v>103</v>
      </c>
      <c r="I47" t="s">
        <v>104</v>
      </c>
      <c r="K47" t="s">
        <v>103</v>
      </c>
    </row>
    <row r="48" spans="1:21" x14ac:dyDescent="0.35">
      <c r="A48" t="s">
        <v>106</v>
      </c>
      <c r="C48">
        <v>0.1</v>
      </c>
      <c r="E48">
        <v>0.1</v>
      </c>
      <c r="G48">
        <v>0.1</v>
      </c>
      <c r="I48">
        <v>0.1</v>
      </c>
      <c r="K48">
        <v>0.1</v>
      </c>
      <c r="M48" t="s">
        <v>157</v>
      </c>
      <c r="N48">
        <v>0.08</v>
      </c>
    </row>
    <row r="49" spans="1:14" x14ac:dyDescent="0.35">
      <c r="A49" t="s">
        <v>107</v>
      </c>
      <c r="C49">
        <v>450</v>
      </c>
      <c r="E49">
        <v>450</v>
      </c>
      <c r="G49">
        <v>600</v>
      </c>
      <c r="I49">
        <v>600</v>
      </c>
      <c r="K49">
        <v>600</v>
      </c>
      <c r="M49" t="s">
        <v>158</v>
      </c>
      <c r="N49">
        <v>2</v>
      </c>
    </row>
    <row r="50" spans="1:14" x14ac:dyDescent="0.35">
      <c r="A50" t="s">
        <v>108</v>
      </c>
      <c r="C50">
        <f>7*24</f>
        <v>168</v>
      </c>
      <c r="E50">
        <f>7*24</f>
        <v>168</v>
      </c>
      <c r="G50">
        <f>7*24</f>
        <v>168</v>
      </c>
      <c r="I50">
        <f>7*24</f>
        <v>168</v>
      </c>
      <c r="K50">
        <f>7*24</f>
        <v>168</v>
      </c>
      <c r="M50" t="s">
        <v>136</v>
      </c>
      <c r="N50">
        <f>(N48/40)/(N49/1000)</f>
        <v>1</v>
      </c>
    </row>
    <row r="51" spans="1:14" x14ac:dyDescent="0.35">
      <c r="A51" t="s">
        <v>152</v>
      </c>
      <c r="C51" s="26"/>
      <c r="D51" s="26"/>
      <c r="E51" s="26">
        <v>6.4605664055814045E-3</v>
      </c>
      <c r="F51" s="26"/>
      <c r="G51" s="26">
        <v>1.0366193874254807E-3</v>
      </c>
      <c r="H51" s="26"/>
      <c r="I51" s="26">
        <v>2.1063652499294817E-4</v>
      </c>
      <c r="J51" s="26"/>
      <c r="K51" s="26">
        <v>4.1114820559221997E-3</v>
      </c>
    </row>
    <row r="52" spans="1:14" x14ac:dyDescent="0.35">
      <c r="A52" t="s">
        <v>155</v>
      </c>
      <c r="C52" s="26">
        <v>8.1788974380188062E-3</v>
      </c>
      <c r="D52" s="26"/>
      <c r="E52" s="26">
        <v>2.5820689085336516E-2</v>
      </c>
      <c r="F52" s="26"/>
      <c r="G52" s="26">
        <v>8.6429044472016402E-3</v>
      </c>
      <c r="H52" s="26"/>
      <c r="I52" s="26"/>
      <c r="J52" s="26"/>
      <c r="K52" s="26">
        <v>7.6244989795289846E-4</v>
      </c>
    </row>
    <row r="53" spans="1:14" x14ac:dyDescent="0.35">
      <c r="A53" t="s">
        <v>159</v>
      </c>
      <c r="C53" s="26"/>
      <c r="D53" s="26"/>
      <c r="E53" s="26"/>
      <c r="F53" s="26"/>
      <c r="G53" s="26"/>
      <c r="H53" s="26"/>
      <c r="I53" s="26">
        <v>7.0522823119662662E-3</v>
      </c>
      <c r="J53" s="26"/>
      <c r="K53" s="26"/>
    </row>
    <row r="54" spans="1:14" x14ac:dyDescent="0.35">
      <c r="A54" t="s">
        <v>160</v>
      </c>
      <c r="C54" s="26">
        <f>AVERAGE(C51:C53)</f>
        <v>8.1788974380188062E-3</v>
      </c>
      <c r="D54" s="26"/>
      <c r="E54" s="26">
        <f>AVERAGE(E51:E53)</f>
        <v>1.614062774545896E-2</v>
      </c>
      <c r="F54" s="26"/>
      <c r="G54" s="26">
        <f>AVERAGE(G51:G53)</f>
        <v>4.8397619173135608E-3</v>
      </c>
      <c r="H54" s="26"/>
      <c r="I54" s="26">
        <f t="shared" ref="I54:K54" si="0">AVERAGE(I51:I53)</f>
        <v>3.6314594184796074E-3</v>
      </c>
      <c r="J54" s="26"/>
      <c r="K54" s="26">
        <f t="shared" si="0"/>
        <v>2.4369659769375492E-3</v>
      </c>
    </row>
    <row r="55" spans="1:14" x14ac:dyDescent="0.35">
      <c r="A55" t="s">
        <v>161</v>
      </c>
      <c r="C55" s="28"/>
      <c r="D55" s="26"/>
      <c r="E55" s="28">
        <f>((E39/1000)/183.3)/(E$20/1000000)</f>
        <v>3.4114490268795476E-2</v>
      </c>
      <c r="F55" s="28"/>
      <c r="G55" s="28">
        <f>((G39/1000)/183.3)/(G$20/1000000)</f>
        <v>5.8006165414521979E-3</v>
      </c>
      <c r="H55" s="26"/>
      <c r="I55" s="28">
        <f>((I39/1000)/183.3)/(I$20/1000000)</f>
        <v>9.9015091064759333E-4</v>
      </c>
      <c r="J55" s="26"/>
      <c r="K55" s="28">
        <f>((K39/1000)/183.3)/(K$20/1000000)</f>
        <v>1.4158748512204958E-2</v>
      </c>
    </row>
    <row r="56" spans="1:14" x14ac:dyDescent="0.35">
      <c r="A56" t="s">
        <v>162</v>
      </c>
      <c r="C56" s="28">
        <f>((C41/1000)/183.3)/(C$20/1000000)</f>
        <v>4.7240175055053138E-2</v>
      </c>
      <c r="D56" s="26"/>
      <c r="E56" s="28">
        <f>((E41/1000)/183.3)/(E$20/1000000)</f>
        <v>0.13905362881302427</v>
      </c>
      <c r="F56" s="26"/>
      <c r="G56" s="28">
        <f>((G41/1000)/183.3)/(G$20/1000000)</f>
        <v>4.8734216736011075E-2</v>
      </c>
      <c r="H56" s="26"/>
      <c r="I56" s="28"/>
      <c r="J56" s="26"/>
      <c r="K56" s="28">
        <f>((K41/1000)/183.3)/(K$20/1000000)</f>
        <v>2.616855600174967E-3</v>
      </c>
    </row>
    <row r="57" spans="1:14" x14ac:dyDescent="0.35">
      <c r="A57" t="s">
        <v>163</v>
      </c>
      <c r="C57" s="28"/>
      <c r="D57" s="26"/>
      <c r="E57" s="28"/>
      <c r="F57" s="26"/>
      <c r="G57" s="28"/>
      <c r="H57" s="26"/>
      <c r="I57" s="28">
        <f>((I36/1000)/183.3)/(I$20/1000000)</f>
        <v>0.40577743349000939</v>
      </c>
      <c r="J57" s="26"/>
      <c r="K57" s="28"/>
    </row>
    <row r="58" spans="1:14" x14ac:dyDescent="0.35">
      <c r="A58" t="s">
        <v>164</v>
      </c>
      <c r="C58" s="27">
        <f>AVERAGE(C55:C57)</f>
        <v>4.7240175055053138E-2</v>
      </c>
      <c r="D58" s="27"/>
      <c r="E58" s="27">
        <f>AVERAGE(E55:E57)</f>
        <v>8.6584059540909877E-2</v>
      </c>
      <c r="F58" s="27"/>
      <c r="G58" s="27">
        <f>AVERAGE(G55:G57)</f>
        <v>2.7267416638731636E-2</v>
      </c>
      <c r="H58" s="27"/>
      <c r="I58" s="27">
        <f>AVERAGE(I55:I57)</f>
        <v>0.20338379220032848</v>
      </c>
      <c r="J58" s="27"/>
      <c r="K58" s="27">
        <f>AVERAGE(K55:K57)</f>
        <v>8.3878020561899622E-3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4C44-BB38-48DF-9771-F7F01D07F1F1}">
  <sheetPr filterMode="1"/>
  <dimension ref="A1:I31"/>
  <sheetViews>
    <sheetView zoomScaleNormal="100" workbookViewId="0">
      <selection activeCell="H3" sqref="H3"/>
    </sheetView>
  </sheetViews>
  <sheetFormatPr defaultRowHeight="14.5" x14ac:dyDescent="0.35"/>
  <cols>
    <col min="1" max="1" width="22.1796875" customWidth="1"/>
    <col min="2" max="2" width="13.81640625" customWidth="1"/>
    <col min="3" max="3" width="16.54296875" customWidth="1"/>
    <col min="4" max="4" width="24" customWidth="1"/>
    <col min="5" max="5" width="19.54296875" customWidth="1"/>
    <col min="6" max="6" width="24.453125" customWidth="1"/>
    <col min="7" max="7" width="23.54296875" customWidth="1"/>
    <col min="8" max="8" width="34.81640625" customWidth="1"/>
    <col min="9" max="9" width="47" bestFit="1" customWidth="1"/>
  </cols>
  <sheetData>
    <row r="1" spans="1:9" ht="15" x14ac:dyDescent="0.35">
      <c r="A1" s="5" t="s">
        <v>0</v>
      </c>
      <c r="B1" s="3" t="s">
        <v>1</v>
      </c>
      <c r="C1" s="3" t="s">
        <v>2</v>
      </c>
      <c r="D1" s="3" t="s">
        <v>165</v>
      </c>
      <c r="E1" s="3" t="s">
        <v>4</v>
      </c>
      <c r="F1" s="3" t="s">
        <v>5</v>
      </c>
      <c r="G1" s="3" t="s">
        <v>166</v>
      </c>
      <c r="H1" s="3" t="s">
        <v>9</v>
      </c>
    </row>
    <row r="2" spans="1:9" x14ac:dyDescent="0.35">
      <c r="A2" s="11" t="s">
        <v>167</v>
      </c>
      <c r="B2" s="11"/>
      <c r="C2" s="11"/>
      <c r="D2" s="11" t="s">
        <v>72</v>
      </c>
      <c r="E2" s="11">
        <v>450</v>
      </c>
      <c r="F2" s="11">
        <v>1</v>
      </c>
      <c r="G2" s="11" t="s">
        <v>168</v>
      </c>
      <c r="H2" s="12" t="s">
        <v>169</v>
      </c>
    </row>
    <row r="3" spans="1:9" x14ac:dyDescent="0.35">
      <c r="A3" s="11" t="s">
        <v>170</v>
      </c>
      <c r="B3" s="11"/>
      <c r="C3" s="11"/>
      <c r="D3" s="11" t="s">
        <v>72</v>
      </c>
      <c r="E3" s="11">
        <v>450</v>
      </c>
      <c r="F3" s="11">
        <v>1</v>
      </c>
      <c r="G3" s="11" t="s">
        <v>168</v>
      </c>
      <c r="H3" s="12" t="s">
        <v>171</v>
      </c>
    </row>
    <row r="4" spans="1:9" ht="15" customHeight="1" x14ac:dyDescent="0.35">
      <c r="A4" s="11" t="s">
        <v>172</v>
      </c>
      <c r="B4" s="11"/>
      <c r="C4" s="11"/>
      <c r="D4" s="11" t="s">
        <v>72</v>
      </c>
      <c r="E4" s="11">
        <v>600</v>
      </c>
      <c r="F4" s="11">
        <v>1</v>
      </c>
      <c r="G4" s="11" t="s">
        <v>168</v>
      </c>
      <c r="H4" s="12" t="s">
        <v>169</v>
      </c>
    </row>
    <row r="5" spans="1:9" x14ac:dyDescent="0.35">
      <c r="A5" s="11" t="s">
        <v>173</v>
      </c>
      <c r="B5" s="11"/>
      <c r="C5" s="11"/>
      <c r="D5" s="11" t="s">
        <v>72</v>
      </c>
      <c r="E5" s="11">
        <v>600</v>
      </c>
      <c r="F5" s="11">
        <v>1</v>
      </c>
      <c r="G5" s="11" t="s">
        <v>168</v>
      </c>
      <c r="H5" s="12" t="s">
        <v>171</v>
      </c>
      <c r="I5" s="12"/>
    </row>
    <row r="6" spans="1:9" x14ac:dyDescent="0.35">
      <c r="A6" s="11" t="s">
        <v>174</v>
      </c>
      <c r="B6" s="11"/>
      <c r="C6" s="11"/>
      <c r="D6" s="11" t="s">
        <v>72</v>
      </c>
      <c r="E6" s="11">
        <v>600</v>
      </c>
      <c r="F6" s="11">
        <v>1</v>
      </c>
      <c r="G6" s="11" t="s">
        <v>168</v>
      </c>
      <c r="H6" s="12" t="s">
        <v>169</v>
      </c>
    </row>
    <row r="7" spans="1:9" x14ac:dyDescent="0.35">
      <c r="A7" s="11" t="s">
        <v>175</v>
      </c>
      <c r="B7" s="11"/>
      <c r="C7" s="11"/>
      <c r="D7" s="11" t="s">
        <v>72</v>
      </c>
      <c r="E7" s="11">
        <v>600</v>
      </c>
      <c r="F7" s="11">
        <v>1</v>
      </c>
      <c r="G7" s="11" t="s">
        <v>168</v>
      </c>
      <c r="H7" s="12" t="s">
        <v>176</v>
      </c>
      <c r="I7" t="s">
        <v>177</v>
      </c>
    </row>
    <row r="8" spans="1:9" x14ac:dyDescent="0.35">
      <c r="A8" s="22" t="s">
        <v>178</v>
      </c>
      <c r="B8" s="22"/>
      <c r="C8" s="22"/>
      <c r="D8" s="11" t="s">
        <v>72</v>
      </c>
      <c r="E8" s="11">
        <v>750</v>
      </c>
      <c r="F8" s="11">
        <v>1</v>
      </c>
      <c r="G8" s="11" t="s">
        <v>168</v>
      </c>
      <c r="H8" s="12" t="s">
        <v>169</v>
      </c>
      <c r="I8" t="s">
        <v>177</v>
      </c>
    </row>
    <row r="9" spans="1:9" x14ac:dyDescent="0.35">
      <c r="A9" s="11" t="s">
        <v>179</v>
      </c>
      <c r="B9" s="11"/>
      <c r="C9" s="11"/>
      <c r="D9" s="11" t="s">
        <v>52</v>
      </c>
      <c r="E9" s="11">
        <v>750</v>
      </c>
      <c r="F9" s="11">
        <v>1</v>
      </c>
      <c r="G9" s="22" t="s">
        <v>168</v>
      </c>
      <c r="H9" s="12" t="s">
        <v>171</v>
      </c>
    </row>
    <row r="10" spans="1:9" x14ac:dyDescent="0.35">
      <c r="A10" s="11" t="s">
        <v>180</v>
      </c>
      <c r="B10" s="11"/>
      <c r="C10" s="11"/>
      <c r="D10" s="22" t="s">
        <v>52</v>
      </c>
      <c r="E10" s="22">
        <v>450</v>
      </c>
      <c r="F10" s="22">
        <v>1</v>
      </c>
      <c r="G10" s="22" t="s">
        <v>168</v>
      </c>
      <c r="H10" s="12" t="s">
        <v>176</v>
      </c>
      <c r="I10" s="23"/>
    </row>
    <row r="11" spans="1:9" x14ac:dyDescent="0.35">
      <c r="A11" s="11" t="s">
        <v>181</v>
      </c>
      <c r="B11" s="11"/>
      <c r="C11" s="11"/>
      <c r="I11" t="s">
        <v>182</v>
      </c>
    </row>
    <row r="12" spans="1:9" x14ac:dyDescent="0.35">
      <c r="A12" s="11" t="s">
        <v>183</v>
      </c>
      <c r="B12" s="11"/>
      <c r="C12" s="11"/>
      <c r="D12" s="11"/>
      <c r="E12" s="11"/>
      <c r="F12" s="11"/>
      <c r="G12" s="11"/>
      <c r="H12" s="12"/>
      <c r="I12" t="s">
        <v>184</v>
      </c>
    </row>
    <row r="13" spans="1:9" x14ac:dyDescent="0.35">
      <c r="A13" s="11" t="s">
        <v>185</v>
      </c>
      <c r="B13" s="11"/>
      <c r="C13" s="11"/>
      <c r="D13" s="11"/>
      <c r="E13" s="11"/>
      <c r="F13" s="11"/>
      <c r="G13" s="11"/>
      <c r="H13" s="12"/>
    </row>
    <row r="14" spans="1:9" x14ac:dyDescent="0.35">
      <c r="A14" s="22" t="s">
        <v>180</v>
      </c>
      <c r="B14" s="22"/>
      <c r="C14" s="22"/>
      <c r="D14" s="11" t="s">
        <v>72</v>
      </c>
      <c r="E14" s="11">
        <v>450</v>
      </c>
      <c r="F14" s="11">
        <v>1</v>
      </c>
      <c r="G14" s="11" t="s">
        <v>168</v>
      </c>
      <c r="H14" s="12" t="s">
        <v>176</v>
      </c>
    </row>
    <row r="15" spans="1:9" x14ac:dyDescent="0.35">
      <c r="A15" s="11"/>
      <c r="B15" s="11"/>
      <c r="C15" s="11"/>
      <c r="D15" s="11"/>
      <c r="E15" s="11"/>
      <c r="F15" s="11"/>
      <c r="G15" s="11"/>
      <c r="H15" s="12"/>
    </row>
    <row r="16" spans="1:9" x14ac:dyDescent="0.35">
      <c r="A16" s="11"/>
      <c r="B16" s="11"/>
      <c r="C16" s="11"/>
      <c r="D16" s="22"/>
      <c r="E16" s="22"/>
      <c r="F16" s="22"/>
      <c r="G16" s="22"/>
      <c r="H16" s="29"/>
      <c r="I16" s="23"/>
    </row>
    <row r="17" spans="1:8" x14ac:dyDescent="0.35">
      <c r="A17" s="11"/>
      <c r="B17" s="11"/>
      <c r="C17" s="11"/>
      <c r="D17" s="11"/>
      <c r="E17" s="11"/>
      <c r="F17" s="11"/>
      <c r="G17" s="11"/>
      <c r="H17" s="12"/>
    </row>
    <row r="18" spans="1:8" x14ac:dyDescent="0.35">
      <c r="A18" s="11"/>
      <c r="B18" s="11"/>
      <c r="C18" s="11"/>
      <c r="D18" s="11"/>
      <c r="E18" s="11"/>
      <c r="F18" s="11"/>
      <c r="G18" s="11"/>
      <c r="H18" s="12"/>
    </row>
    <row r="19" spans="1:8" x14ac:dyDescent="0.35">
      <c r="A19" s="11"/>
      <c r="B19" s="11"/>
      <c r="C19" s="11"/>
      <c r="D19" s="11"/>
      <c r="E19" s="11"/>
      <c r="F19" s="11"/>
      <c r="G19" s="11"/>
      <c r="H19" s="12"/>
    </row>
    <row r="20" spans="1:8" x14ac:dyDescent="0.35">
      <c r="A20" s="11"/>
      <c r="B20" s="11"/>
      <c r="C20" s="11"/>
      <c r="D20" s="11"/>
      <c r="E20" s="11"/>
      <c r="F20" s="11"/>
      <c r="G20" s="11"/>
      <c r="H20" s="12"/>
    </row>
    <row r="24" spans="1:8" ht="28.5" x14ac:dyDescent="0.35">
      <c r="D24" s="11" t="s">
        <v>65</v>
      </c>
      <c r="E24" s="11">
        <v>800</v>
      </c>
      <c r="F24" s="11">
        <v>2</v>
      </c>
      <c r="G24" s="11" t="s">
        <v>186</v>
      </c>
      <c r="H24" s="12" t="s">
        <v>187</v>
      </c>
    </row>
    <row r="25" spans="1:8" ht="28.5" x14ac:dyDescent="0.35">
      <c r="D25" s="11" t="s">
        <v>72</v>
      </c>
      <c r="E25" s="11">
        <v>800</v>
      </c>
      <c r="F25" s="11">
        <v>2</v>
      </c>
      <c r="G25" s="11" t="s">
        <v>186</v>
      </c>
      <c r="H25" s="12" t="s">
        <v>187</v>
      </c>
    </row>
    <row r="26" spans="1:8" ht="28.5" x14ac:dyDescent="0.35">
      <c r="D26" s="11" t="s">
        <v>69</v>
      </c>
      <c r="E26" s="11">
        <v>800</v>
      </c>
      <c r="F26" s="11">
        <v>2</v>
      </c>
      <c r="G26" s="11" t="s">
        <v>186</v>
      </c>
      <c r="H26" s="12" t="s">
        <v>187</v>
      </c>
    </row>
    <row r="27" spans="1:8" x14ac:dyDescent="0.35">
      <c r="D27" s="11" t="s">
        <v>72</v>
      </c>
      <c r="E27" s="11">
        <v>800</v>
      </c>
      <c r="F27" s="11">
        <v>2</v>
      </c>
      <c r="G27" s="11" t="s">
        <v>188</v>
      </c>
    </row>
    <row r="28" spans="1:8" ht="28.5" x14ac:dyDescent="0.35">
      <c r="D28" s="11" t="s">
        <v>72</v>
      </c>
      <c r="E28" s="11">
        <v>800</v>
      </c>
      <c r="F28" s="11">
        <v>2</v>
      </c>
      <c r="G28" s="11" t="s">
        <v>189</v>
      </c>
      <c r="H28" s="12" t="s">
        <v>190</v>
      </c>
    </row>
    <row r="29" spans="1:8" ht="28.5" x14ac:dyDescent="0.35">
      <c r="D29" s="11" t="s">
        <v>72</v>
      </c>
      <c r="E29" s="11">
        <v>800</v>
      </c>
      <c r="F29" s="11">
        <v>2</v>
      </c>
      <c r="G29" s="11" t="s">
        <v>191</v>
      </c>
      <c r="H29" s="12" t="s">
        <v>190</v>
      </c>
    </row>
    <row r="30" spans="1:8" ht="28.5" x14ac:dyDescent="0.35">
      <c r="D30" s="11" t="s">
        <v>72</v>
      </c>
      <c r="E30" s="11">
        <v>800</v>
      </c>
      <c r="F30" s="11">
        <v>2</v>
      </c>
      <c r="G30" s="11" t="s">
        <v>192</v>
      </c>
      <c r="H30" s="12" t="s">
        <v>190</v>
      </c>
    </row>
    <row r="31" spans="1:8" ht="28.5" x14ac:dyDescent="0.35">
      <c r="D31" s="11" t="s">
        <v>58</v>
      </c>
      <c r="E31" s="11">
        <v>600</v>
      </c>
      <c r="F31" s="11">
        <v>2</v>
      </c>
      <c r="G31" s="11" t="s">
        <v>186</v>
      </c>
      <c r="H31" s="12" t="s">
        <v>190</v>
      </c>
    </row>
  </sheetData>
  <autoFilter ref="A1:I13" xr:uid="{FF8A4C44-BB38-48DF-9771-F7F01D07F1F1}">
    <filterColumn colId="7">
      <filters>
        <filter val="USGS-49 water, 30SiO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34EC-09B7-4D4A-A25C-A0046A5E6452}">
  <dimension ref="A1:P18"/>
  <sheetViews>
    <sheetView workbookViewId="0">
      <pane xSplit="1" ySplit="1" topLeftCell="B2" activePane="bottomRight" state="frozen"/>
      <selection pane="topRight"/>
      <selection pane="bottomLeft"/>
      <selection pane="bottomRight" activeCell="E8" sqref="E8"/>
    </sheetView>
  </sheetViews>
  <sheetFormatPr defaultColWidth="9.1796875" defaultRowHeight="14" x14ac:dyDescent="0.35"/>
  <cols>
    <col min="1" max="1" width="6.453125" style="1" bestFit="1" customWidth="1"/>
    <col min="2" max="2" width="8.1796875" style="1" customWidth="1"/>
    <col min="3" max="3" width="6.7265625" style="1" bestFit="1" customWidth="1"/>
    <col min="4" max="4" width="6.7265625" style="1" customWidth="1"/>
    <col min="5" max="5" width="22.54296875" style="1" bestFit="1" customWidth="1"/>
    <col min="6" max="6" width="17.1796875" style="1" customWidth="1"/>
    <col min="7" max="8" width="15" style="1" customWidth="1"/>
    <col min="9" max="11" width="9.1796875" style="1"/>
    <col min="12" max="12" width="15.1796875" style="1" customWidth="1"/>
    <col min="13" max="13" width="10.1796875" style="1" bestFit="1" customWidth="1"/>
    <col min="14" max="14" width="15.453125" style="1" bestFit="1" customWidth="1"/>
    <col min="15" max="16384" width="9.1796875" style="1"/>
  </cols>
  <sheetData>
    <row r="1" spans="1:16" ht="45" x14ac:dyDescent="0.35">
      <c r="A1" s="10" t="s">
        <v>193</v>
      </c>
      <c r="B1" s="8" t="s">
        <v>194</v>
      </c>
      <c r="C1" s="8" t="s">
        <v>195</v>
      </c>
      <c r="D1" s="8" t="s">
        <v>196</v>
      </c>
      <c r="E1" s="8" t="s">
        <v>197</v>
      </c>
      <c r="F1" s="5" t="s">
        <v>198</v>
      </c>
      <c r="G1" s="10" t="s">
        <v>11</v>
      </c>
      <c r="H1" s="10" t="s">
        <v>12</v>
      </c>
      <c r="I1" s="10" t="s">
        <v>199</v>
      </c>
      <c r="J1" s="10" t="s">
        <v>14</v>
      </c>
      <c r="K1" s="10" t="s">
        <v>15</v>
      </c>
      <c r="L1" s="10" t="s">
        <v>16</v>
      </c>
      <c r="M1" s="1" t="s">
        <v>200</v>
      </c>
      <c r="N1" s="1" t="s">
        <v>201</v>
      </c>
    </row>
    <row r="2" spans="1:16" x14ac:dyDescent="0.35">
      <c r="A2" s="1" t="s">
        <v>202</v>
      </c>
      <c r="B2" s="4">
        <v>0.5</v>
      </c>
      <c r="C2" s="1">
        <v>110</v>
      </c>
      <c r="D2" s="1" t="s">
        <v>34</v>
      </c>
      <c r="E2" s="1" t="s">
        <v>203</v>
      </c>
      <c r="F2" s="1" t="s">
        <v>37</v>
      </c>
      <c r="G2" s="1">
        <v>12.569800000000001</v>
      </c>
      <c r="H2" s="1">
        <v>7.4934000000000003</v>
      </c>
      <c r="I2" s="1">
        <v>1.3466</v>
      </c>
      <c r="J2" s="1">
        <v>120</v>
      </c>
      <c r="K2" s="1">
        <v>2.1429999999999998</v>
      </c>
      <c r="L2" s="1" t="s">
        <v>27</v>
      </c>
      <c r="M2" s="7">
        <f>(K2*0.001/41.988)/(J2*0.000001)</f>
        <v>0.42531993267917817</v>
      </c>
    </row>
    <row r="3" spans="1:16" x14ac:dyDescent="0.35">
      <c r="A3" s="1" t="s">
        <v>204</v>
      </c>
      <c r="B3" s="7">
        <f>1/24</f>
        <v>4.1666666666666664E-2</v>
      </c>
      <c r="C3" s="1">
        <v>600</v>
      </c>
      <c r="D3" s="1">
        <v>0.2</v>
      </c>
      <c r="E3" s="1" t="s">
        <v>203</v>
      </c>
      <c r="F3" s="1" t="s">
        <v>42</v>
      </c>
      <c r="G3" s="1">
        <v>12.023199999999999</v>
      </c>
      <c r="H3" s="1">
        <v>11.176600000000001</v>
      </c>
      <c r="I3" s="1">
        <v>1.2353000000000001</v>
      </c>
      <c r="J3" s="1">
        <v>120</v>
      </c>
      <c r="K3" s="1">
        <v>2.1360000000000001</v>
      </c>
      <c r="L3" s="1" t="s">
        <v>27</v>
      </c>
      <c r="M3" s="7">
        <f t="shared" ref="M3:M4" si="0">(K3*0.001/41.988)/(J3*0.000001)</f>
        <v>0.42393064685148146</v>
      </c>
      <c r="N3" s="1">
        <v>434.8888</v>
      </c>
      <c r="O3" s="1">
        <v>437.66890000000001</v>
      </c>
      <c r="P3" s="1">
        <f>O3-N3</f>
        <v>2.7801000000000045</v>
      </c>
    </row>
    <row r="4" spans="1:16" x14ac:dyDescent="0.35">
      <c r="A4" s="1" t="s">
        <v>205</v>
      </c>
      <c r="B4" s="1">
        <v>0.33</v>
      </c>
      <c r="C4" s="1">
        <v>600</v>
      </c>
      <c r="D4" s="1">
        <v>0.2</v>
      </c>
      <c r="E4" s="1" t="s">
        <v>203</v>
      </c>
      <c r="F4" s="1" t="s">
        <v>42</v>
      </c>
      <c r="G4" s="1">
        <v>8.9417000000000009</v>
      </c>
      <c r="H4" s="1">
        <v>17.922000000000001</v>
      </c>
      <c r="I4" s="1">
        <v>1.1738999999999999</v>
      </c>
      <c r="J4" s="1">
        <v>120</v>
      </c>
      <c r="K4" s="1">
        <v>2.1667000000000001</v>
      </c>
      <c r="L4" s="1" t="s">
        <v>27</v>
      </c>
      <c r="M4" s="7">
        <f t="shared" si="0"/>
        <v>0.43002365755295169</v>
      </c>
      <c r="N4" s="1">
        <v>433.63940000000002</v>
      </c>
      <c r="O4" s="1">
        <v>433.85879999999997</v>
      </c>
      <c r="P4" s="1">
        <f t="shared" ref="P4:P5" si="1">O4-N4</f>
        <v>0.21939999999995052</v>
      </c>
    </row>
    <row r="5" spans="1:16" x14ac:dyDescent="0.35">
      <c r="A5" s="1" t="s">
        <v>206</v>
      </c>
      <c r="B5" s="1">
        <v>7</v>
      </c>
      <c r="C5" s="1">
        <v>750</v>
      </c>
      <c r="D5" s="1">
        <v>0.2</v>
      </c>
      <c r="E5" s="1" t="s">
        <v>207</v>
      </c>
      <c r="F5" s="1" t="s">
        <v>37</v>
      </c>
      <c r="G5" s="1">
        <v>9.4474</v>
      </c>
      <c r="H5" s="1">
        <v>10.553000000000001</v>
      </c>
      <c r="I5" s="1">
        <f>115.9289-114.8693</f>
        <v>1.0596000000000032</v>
      </c>
      <c r="J5" s="1">
        <v>120</v>
      </c>
      <c r="K5" s="1" t="s">
        <v>27</v>
      </c>
      <c r="L5" s="1" t="s">
        <v>27</v>
      </c>
      <c r="M5" s="7"/>
      <c r="N5" s="1">
        <v>435.73540000000003</v>
      </c>
      <c r="O5" s="1">
        <v>437.0376</v>
      </c>
      <c r="P5" s="1">
        <f t="shared" si="1"/>
        <v>1.3021999999999707</v>
      </c>
    </row>
    <row r="6" spans="1:16" x14ac:dyDescent="0.35">
      <c r="A6" s="1" t="s">
        <v>208</v>
      </c>
      <c r="B6" s="1">
        <v>14</v>
      </c>
      <c r="C6" s="1">
        <v>750</v>
      </c>
      <c r="D6" s="1">
        <v>0.2</v>
      </c>
      <c r="E6" s="1" t="s">
        <v>207</v>
      </c>
      <c r="F6" s="1" t="s">
        <v>37</v>
      </c>
      <c r="G6" s="1">
        <v>13.519500000000001</v>
      </c>
      <c r="H6" s="1">
        <v>9.8030000000000008</v>
      </c>
      <c r="I6" s="1">
        <f>174.3108-173.1998</f>
        <v>1.11099999999999</v>
      </c>
      <c r="J6" s="1">
        <v>120</v>
      </c>
      <c r="K6" s="1" t="s">
        <v>27</v>
      </c>
      <c r="L6" s="1" t="s">
        <v>27</v>
      </c>
      <c r="M6" s="7"/>
    </row>
    <row r="7" spans="1:16" x14ac:dyDescent="0.35">
      <c r="A7" s="1" t="s">
        <v>209</v>
      </c>
      <c r="B7" s="1">
        <v>21</v>
      </c>
      <c r="C7" s="1">
        <v>750</v>
      </c>
      <c r="D7" s="1">
        <v>0.2</v>
      </c>
      <c r="E7" s="1" t="s">
        <v>207</v>
      </c>
      <c r="F7" s="1" t="s">
        <v>37</v>
      </c>
      <c r="G7" s="1">
        <v>7.8865999999999996</v>
      </c>
      <c r="H7" s="1">
        <v>5.0461</v>
      </c>
      <c r="I7" s="1">
        <f>141.3287-140.1758</f>
        <v>1.1528999999999883</v>
      </c>
      <c r="J7" s="1">
        <v>120</v>
      </c>
      <c r="K7" s="1" t="s">
        <v>27</v>
      </c>
      <c r="L7" s="1" t="s">
        <v>27</v>
      </c>
      <c r="M7" s="7"/>
      <c r="N7" s="1">
        <v>433.05520000000001</v>
      </c>
      <c r="O7" s="1">
        <v>433.78390000000002</v>
      </c>
      <c r="P7" s="1">
        <f>O7-N7</f>
        <v>0.72870000000000346</v>
      </c>
    </row>
    <row r="8" spans="1:16" x14ac:dyDescent="0.35">
      <c r="A8" s="1" t="s">
        <v>210</v>
      </c>
      <c r="B8" s="1">
        <v>0.5</v>
      </c>
      <c r="C8" s="1">
        <v>110</v>
      </c>
      <c r="D8" s="1" t="s">
        <v>34</v>
      </c>
      <c r="E8" s="1" t="s">
        <v>207</v>
      </c>
      <c r="F8" s="1" t="s">
        <v>37</v>
      </c>
      <c r="G8" s="1">
        <v>10.9602</v>
      </c>
      <c r="H8" s="1">
        <v>7.5221</v>
      </c>
      <c r="I8" s="1">
        <f>144.8788-143.8307</f>
        <v>1.0481000000000051</v>
      </c>
      <c r="J8" s="1">
        <v>120</v>
      </c>
      <c r="K8" s="1" t="s">
        <v>27</v>
      </c>
      <c r="L8" s="1" t="s">
        <v>27</v>
      </c>
      <c r="M8" s="7"/>
    </row>
    <row r="9" spans="1:16" x14ac:dyDescent="0.35">
      <c r="A9" s="1" t="s">
        <v>211</v>
      </c>
      <c r="B9" s="1">
        <v>3</v>
      </c>
      <c r="C9" s="1">
        <v>800</v>
      </c>
      <c r="D9" s="1">
        <v>0.2</v>
      </c>
      <c r="E9" s="1" t="s">
        <v>212</v>
      </c>
      <c r="F9" s="1" t="s">
        <v>37</v>
      </c>
      <c r="G9" s="1">
        <v>11.3362</v>
      </c>
      <c r="H9" s="1">
        <v>6.5960000000000001</v>
      </c>
      <c r="I9" s="1">
        <v>1.768</v>
      </c>
      <c r="J9" s="1">
        <v>120</v>
      </c>
      <c r="K9" s="1">
        <v>4.4800000000000004</v>
      </c>
      <c r="L9" s="1" t="s">
        <v>27</v>
      </c>
      <c r="M9" s="7">
        <f t="shared" ref="M9:M11" si="2">(K9*0.001/41.988)/(J9*0.000001)</f>
        <v>0.88914292972595355</v>
      </c>
      <c r="N9" s="1">
        <v>434.73489999999998</v>
      </c>
      <c r="O9" s="1">
        <v>434.93700000000001</v>
      </c>
      <c r="P9" s="1">
        <f>O9-N9</f>
        <v>0.20210000000002992</v>
      </c>
    </row>
    <row r="10" spans="1:16" x14ac:dyDescent="0.35">
      <c r="A10" s="1" t="s">
        <v>213</v>
      </c>
      <c r="B10" s="1">
        <v>19</v>
      </c>
      <c r="C10" s="1">
        <v>800</v>
      </c>
      <c r="D10" s="1">
        <v>0.2</v>
      </c>
      <c r="E10" s="1" t="s">
        <v>212</v>
      </c>
      <c r="F10" s="1" t="s">
        <v>42</v>
      </c>
      <c r="G10" s="1">
        <v>17.8169</v>
      </c>
      <c r="H10" s="1">
        <v>16.972100000000001</v>
      </c>
      <c r="I10" s="1">
        <v>1.6950000000000001</v>
      </c>
      <c r="J10" s="1">
        <v>120</v>
      </c>
      <c r="K10" s="1">
        <v>5.1722999999999999</v>
      </c>
      <c r="L10" s="1" t="s">
        <v>27</v>
      </c>
      <c r="M10" s="7">
        <f t="shared" si="2"/>
        <v>1.0265432980851674</v>
      </c>
      <c r="N10" s="1">
        <v>437.42380000000003</v>
      </c>
      <c r="O10" s="1">
        <v>437.96159999999998</v>
      </c>
      <c r="P10" s="1">
        <f>O10-N10</f>
        <v>0.53779999999994743</v>
      </c>
    </row>
    <row r="11" spans="1:16" x14ac:dyDescent="0.35">
      <c r="A11" s="1" t="s">
        <v>214</v>
      </c>
      <c r="B11" s="1">
        <v>7</v>
      </c>
      <c r="C11" s="1">
        <v>800</v>
      </c>
      <c r="D11" s="1">
        <v>0.2</v>
      </c>
      <c r="E11" s="1" t="s">
        <v>212</v>
      </c>
      <c r="F11" s="1" t="s">
        <v>74</v>
      </c>
      <c r="G11" s="1">
        <v>21.060600000000001</v>
      </c>
      <c r="H11" s="1">
        <v>6.1132999999999997</v>
      </c>
      <c r="I11" s="1">
        <v>2.073</v>
      </c>
      <c r="J11" s="1">
        <v>120</v>
      </c>
      <c r="K11" s="1">
        <v>5.0224000000000002</v>
      </c>
      <c r="L11" s="1" t="s">
        <v>27</v>
      </c>
      <c r="M11" s="7">
        <f t="shared" si="2"/>
        <v>0.99679273443206018</v>
      </c>
      <c r="N11" s="1">
        <v>437.07499999999999</v>
      </c>
      <c r="O11" s="1">
        <v>437.8648</v>
      </c>
      <c r="P11" s="1">
        <f>O11-N11</f>
        <v>0.78980000000001382</v>
      </c>
    </row>
    <row r="12" spans="1:16" x14ac:dyDescent="0.35">
      <c r="A12" s="1" t="s">
        <v>215</v>
      </c>
      <c r="B12" s="1">
        <v>1</v>
      </c>
      <c r="C12" s="1">
        <v>600</v>
      </c>
      <c r="D12" s="1">
        <v>0.2</v>
      </c>
      <c r="E12" s="1" t="s">
        <v>216</v>
      </c>
      <c r="F12" s="1" t="s">
        <v>37</v>
      </c>
      <c r="G12" s="1" t="s">
        <v>27</v>
      </c>
      <c r="H12" s="1" t="s">
        <v>27</v>
      </c>
      <c r="I12" s="1">
        <f>152.1043-150.8015</f>
        <v>1.3027999999999906</v>
      </c>
      <c r="J12" s="1" t="s">
        <v>27</v>
      </c>
      <c r="K12" s="1" t="s">
        <v>27</v>
      </c>
      <c r="L12" s="1">
        <f>178.676-152.1043</f>
        <v>26.571699999999993</v>
      </c>
      <c r="M12" s="7"/>
    </row>
    <row r="13" spans="1:16" ht="28" x14ac:dyDescent="0.35">
      <c r="A13" s="1" t="s">
        <v>217</v>
      </c>
      <c r="B13" s="1">
        <v>1</v>
      </c>
      <c r="C13" s="1">
        <v>600</v>
      </c>
      <c r="D13" s="1">
        <v>0.2</v>
      </c>
      <c r="E13" s="4" t="s">
        <v>218</v>
      </c>
      <c r="F13" s="1" t="s">
        <v>37</v>
      </c>
      <c r="G13" s="1" t="s">
        <v>27</v>
      </c>
      <c r="H13" s="1" t="s">
        <v>27</v>
      </c>
      <c r="I13" s="1">
        <f>146.2798-144.7605</f>
        <v>1.519299999999987</v>
      </c>
      <c r="J13" s="1" t="s">
        <v>27</v>
      </c>
      <c r="K13" s="1">
        <f>1700.128-1694.7214</f>
        <v>5.4066000000000258</v>
      </c>
      <c r="L13" s="1">
        <f>172.4678-146.2798</f>
        <v>26.188000000000017</v>
      </c>
      <c r="M13" s="7" t="e">
        <f>(K13*0.001/41.988)/(J13*0.000001)</f>
        <v>#VALUE!</v>
      </c>
    </row>
    <row r="14" spans="1:16" x14ac:dyDescent="0.35">
      <c r="A14" s="1" t="s">
        <v>219</v>
      </c>
      <c r="B14" s="1">
        <v>1</v>
      </c>
      <c r="C14" s="1">
        <v>600</v>
      </c>
      <c r="D14" s="1">
        <v>0.2</v>
      </c>
      <c r="E14" s="1" t="s">
        <v>216</v>
      </c>
      <c r="F14" s="1" t="s">
        <v>37</v>
      </c>
      <c r="G14" s="1" t="s">
        <v>27</v>
      </c>
      <c r="H14" s="1" t="s">
        <v>27</v>
      </c>
      <c r="I14" s="1">
        <f>125.8417-124.2025</f>
        <v>1.6392000000000024</v>
      </c>
      <c r="J14" s="1" t="s">
        <v>27</v>
      </c>
      <c r="K14" s="1" t="s">
        <v>27</v>
      </c>
      <c r="L14" s="1">
        <f>144.6602-125.8417</f>
        <v>18.8185</v>
      </c>
    </row>
    <row r="15" spans="1:16" x14ac:dyDescent="0.35">
      <c r="A15" s="1" t="s">
        <v>220</v>
      </c>
      <c r="B15" s="1">
        <v>3</v>
      </c>
      <c r="C15" s="1">
        <v>800</v>
      </c>
      <c r="D15" s="1">
        <v>0.1</v>
      </c>
      <c r="E15" s="1" t="s">
        <v>221</v>
      </c>
      <c r="F15" s="1" t="s">
        <v>87</v>
      </c>
      <c r="G15" s="32">
        <f>173.1019-160.1331</f>
        <v>12.968799999999987</v>
      </c>
      <c r="H15" s="32"/>
      <c r="I15" s="1">
        <f>(174.4643-173.1019)+(1735.9271-1733.7685)</f>
        <v>3.521000000000214</v>
      </c>
      <c r="J15" s="1">
        <v>120</v>
      </c>
      <c r="K15" s="1" t="s">
        <v>27</v>
      </c>
      <c r="L15" s="1" t="s">
        <v>27</v>
      </c>
    </row>
    <row r="16" spans="1:16" x14ac:dyDescent="0.35">
      <c r="A16" s="1" t="s">
        <v>222</v>
      </c>
      <c r="B16" s="1">
        <v>7</v>
      </c>
      <c r="C16" s="1">
        <v>800</v>
      </c>
      <c r="D16" s="1">
        <v>0.1</v>
      </c>
      <c r="E16" s="1" t="s">
        <v>221</v>
      </c>
      <c r="F16" s="1" t="s">
        <v>87</v>
      </c>
      <c r="G16" s="32">
        <f>174.854-163.7575</f>
        <v>11.09650000000002</v>
      </c>
      <c r="H16" s="32"/>
      <c r="I16" s="1">
        <f>(175.9563-174.854)+(1727.6003-1726.7132)</f>
        <v>1.9894000000001313</v>
      </c>
      <c r="J16" s="1">
        <v>120</v>
      </c>
      <c r="K16" s="1" t="s">
        <v>27</v>
      </c>
      <c r="L16" s="1" t="s">
        <v>27</v>
      </c>
    </row>
    <row r="18" spans="1:1" x14ac:dyDescent="0.35">
      <c r="A18" s="9" t="s">
        <v>223</v>
      </c>
    </row>
  </sheetData>
  <mergeCells count="2">
    <mergeCell ref="G15:H15"/>
    <mergeCell ref="G16:H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729A3E6EAA4F9E1C9F13D541663D" ma:contentTypeVersion="14" ma:contentTypeDescription="Create a new document." ma:contentTypeScope="" ma:versionID="c051356ea1710f3fb5d80eaeb75cb6ec">
  <xsd:schema xmlns:xsd="http://www.w3.org/2001/XMLSchema" xmlns:xs="http://www.w3.org/2001/XMLSchema" xmlns:p="http://schemas.microsoft.com/office/2006/metadata/properties" xmlns:ns2="734d9d5b-bad1-43ae-a310-979dd75c40ab" xmlns:ns3="ad78e214-34d5-4fdd-b75d-5961e8c71fd9" targetNamespace="http://schemas.microsoft.com/office/2006/metadata/properties" ma:root="true" ma:fieldsID="1b8103a8cf90e9c87e2e092ffa6eae69" ns2:_="" ns3:_="">
    <xsd:import namespace="734d9d5b-bad1-43ae-a310-979dd75c40ab"/>
    <xsd:import namespace="ad78e214-34d5-4fdd-b75d-5961e8c71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9d5b-bad1-43ae-a310-979dd75c4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8e214-34d5-4fdd-b75d-5961e8c71f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d803d5-033d-4c9d-afec-10d151e44ed4}" ma:internalName="TaxCatchAll" ma:showField="CatchAllData" ma:web="ad78e214-34d5-4fdd-b75d-5961e8c71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4d9d5b-bad1-43ae-a310-979dd75c40ab">
      <Terms xmlns="http://schemas.microsoft.com/office/infopath/2007/PartnerControls"/>
    </lcf76f155ced4ddcb4097134ff3c332f>
    <TaxCatchAll xmlns="ad78e214-34d5-4fdd-b75d-5961e8c71fd9" xsi:nil="true"/>
    <SharedWithUsers xmlns="ad78e214-34d5-4fdd-b75d-5961e8c71fd9">
      <UserInfo>
        <DisplayName>Wallrich, Blake M</DisplayName>
        <AccountId>12</AccountId>
        <AccountType/>
      </UserInfo>
      <UserInfo>
        <DisplayName>Ayers, John C</DisplayName>
        <AccountId>10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07D19D-20A0-47C9-9DA9-00415486B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d9d5b-bad1-43ae-a310-979dd75c40ab"/>
    <ds:schemaRef ds:uri="ad78e214-34d5-4fdd-b75d-5961e8c71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D6EED7-355C-4483-9CDC-B586EBC6FCAF}">
  <ds:schemaRefs>
    <ds:schemaRef ds:uri="http://schemas.microsoft.com/office/2006/metadata/properties"/>
    <ds:schemaRef ds:uri="http://schemas.microsoft.com/office/infopath/2007/PartnerControls"/>
    <ds:schemaRef ds:uri="734d9d5b-bad1-43ae-a310-979dd75c40ab"/>
    <ds:schemaRef ds:uri="ad78e214-34d5-4fdd-b75d-5961e8c71fd9"/>
  </ds:schemaRefs>
</ds:datastoreItem>
</file>

<file path=customXml/itemProps3.xml><?xml version="1.0" encoding="utf-8"?>
<ds:datastoreItem xmlns:ds="http://schemas.openxmlformats.org/officeDocument/2006/customXml" ds:itemID="{FC52BE4C-6885-482E-8BA4-F659C5F6D2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Experimental Log</vt:lpstr>
      <vt:lpstr>Sheet1</vt:lpstr>
      <vt:lpstr>Expt datasheet</vt:lpstr>
      <vt:lpstr>Planned Experiments </vt:lpstr>
      <vt:lpstr>Experimental Log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Ayers</cp:lastModifiedBy>
  <cp:revision/>
  <dcterms:created xsi:type="dcterms:W3CDTF">2023-08-22T17:34:25Z</dcterms:created>
  <dcterms:modified xsi:type="dcterms:W3CDTF">2026-08-12T13:28:27Z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0x0101004E97729A3E6EAA4F9E1C9F13D541663D</vt:lpwstr>
  </property>
  <property fmtid="{D5CDD505-2E9C-101B-9397-08002B2CF9AE}" pid="3" name="MediaServiceImageTags">
    <vt:lpwstr/>
  </property>
</Properties>
</file>