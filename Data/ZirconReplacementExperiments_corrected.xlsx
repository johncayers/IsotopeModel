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54" documentId="11_904A5F2A576785830A7E821C7750557F1AB54145" xr6:coauthVersionLast="47" xr6:coauthVersionMax="47" xr10:uidLastSave="{E357EFFA-C497-4DF2-ACFB-75B526F92EDD}"/>
  <bookViews>
    <workbookView xWindow="-120" yWindow="-120" windowWidth="29040" windowHeight="15720" activeTab="1" xr2:uid="{00000000-000D-0000-FFFF-FFFF00000000}"/>
  </bookViews>
  <sheets>
    <sheet name="Experimental Log" sheetId="1" r:id="rId1"/>
    <sheet name="Clea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J15" i="2"/>
  <c r="J16" i="2"/>
  <c r="J13" i="2"/>
  <c r="I15" i="2"/>
  <c r="I16" i="2"/>
  <c r="U19" i="1"/>
  <c r="I14" i="2"/>
  <c r="H14" i="2"/>
  <c r="L13" i="2"/>
  <c r="M13" i="2" s="1"/>
  <c r="I13" i="2"/>
  <c r="H13" i="2"/>
  <c r="I12" i="2"/>
  <c r="H12" i="2"/>
  <c r="M11" i="2"/>
  <c r="H11" i="2"/>
  <c r="M10" i="2"/>
  <c r="H10" i="2"/>
  <c r="M9" i="2"/>
  <c r="H9" i="2"/>
  <c r="I8" i="2"/>
  <c r="H8" i="2"/>
  <c r="I7" i="2"/>
  <c r="H7" i="2"/>
  <c r="J6" i="2"/>
  <c r="I6" i="2"/>
  <c r="H6" i="2"/>
  <c r="I5" i="2"/>
  <c r="H5" i="2"/>
  <c r="M4" i="2"/>
  <c r="H4" i="2"/>
  <c r="M3" i="2"/>
  <c r="H3" i="2"/>
  <c r="B3" i="2"/>
  <c r="M2" i="2"/>
  <c r="H2" i="2"/>
  <c r="O23" i="1"/>
  <c r="L23" i="1"/>
  <c r="O22" i="1"/>
  <c r="L22" i="1"/>
  <c r="S21" i="1"/>
  <c r="O21" i="1"/>
  <c r="S20" i="1"/>
  <c r="Q20" i="1"/>
  <c r="R20" i="1" s="1"/>
  <c r="O20" i="1"/>
  <c r="S19" i="1"/>
  <c r="O19" i="1"/>
  <c r="U18" i="1"/>
  <c r="R18" i="1"/>
  <c r="N18" i="1"/>
  <c r="U17" i="1"/>
  <c r="R17" i="1"/>
  <c r="N17" i="1"/>
  <c r="U16" i="1"/>
  <c r="R16" i="1"/>
  <c r="N16" i="1"/>
  <c r="O15" i="1"/>
  <c r="N15" i="1"/>
  <c r="U14" i="1"/>
  <c r="O14" i="1"/>
  <c r="N14" i="1"/>
  <c r="O13" i="1"/>
  <c r="N13" i="1"/>
  <c r="U12" i="1"/>
  <c r="O12" i="1"/>
  <c r="N12" i="1"/>
  <c r="U10" i="1"/>
  <c r="R10" i="1"/>
  <c r="N10" i="1"/>
  <c r="U9" i="1"/>
  <c r="R9" i="1"/>
  <c r="N9" i="1"/>
  <c r="R8" i="1"/>
  <c r="N8" i="1"/>
  <c r="P7" i="1"/>
  <c r="O7" i="1"/>
  <c r="S6" i="1"/>
  <c r="O6" i="1"/>
  <c r="S5" i="1"/>
  <c r="O5" i="1"/>
  <c r="S4" i="1"/>
  <c r="P4" i="1"/>
  <c r="O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(validation)</author>
  </authors>
  <commentList>
    <comment ref="H1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Was "-"; now total zircon = cube 1 mass, consistent with other cube runs.</t>
        </r>
      </text>
    </comment>
    <comment ref="H16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Was "-"; now total zircon = cube 1 mass, consistent with other cube runs.</t>
        </r>
      </text>
    </comment>
  </commentList>
</comments>
</file>

<file path=xl/sharedStrings.xml><?xml version="1.0" encoding="utf-8"?>
<sst xmlns="http://schemas.openxmlformats.org/spreadsheetml/2006/main" count="246" uniqueCount="118">
  <si>
    <t>Experiment Name</t>
  </si>
  <si>
    <t>Start Date</t>
  </si>
  <si>
    <t>End Date</t>
  </si>
  <si>
    <t>Total Run Time</t>
  </si>
  <si>
    <t>Temperature (ºC)</t>
  </si>
  <si>
    <t>Pressure (kbar)</t>
  </si>
  <si>
    <t>Qtz Solb (mg SiO2/kg)</t>
  </si>
  <si>
    <t>Calc pH</t>
  </si>
  <si>
    <t>Starting material</t>
  </si>
  <si>
    <t>Notes</t>
  </si>
  <si>
    <t>recrystallization?</t>
  </si>
  <si>
    <t>Mass of cube 1 (mg)</t>
  </si>
  <si>
    <t>Mass of cube 2 (mg)</t>
  </si>
  <si>
    <t>Mass zircon cubes (mg)</t>
  </si>
  <si>
    <t>Mass of 29SiO2 (mg)</t>
  </si>
  <si>
    <t>Volume of H2O (µl)</t>
  </si>
  <si>
    <t>Mass of NaF</t>
  </si>
  <si>
    <t>NaF molality</t>
  </si>
  <si>
    <t>Mass of zircon powder/chips (mg)</t>
  </si>
  <si>
    <t>Mass of Quench Silica mg</t>
  </si>
  <si>
    <t>M SiO2 Qtz Sat (mg)</t>
  </si>
  <si>
    <t>Zircon Test (Au)</t>
  </si>
  <si>
    <t>Mud Tank Zircon</t>
  </si>
  <si>
    <t>Successful experiment. Glass, H2O, and crystal collected for analysis</t>
  </si>
  <si>
    <t>baddeleyite</t>
  </si>
  <si>
    <t>Zircon Test (Pt)</t>
  </si>
  <si>
    <t>Zircon 001</t>
  </si>
  <si>
    <t>Pilbara (SAM-47) Zircon</t>
  </si>
  <si>
    <t>Metamict zircon completely replaced</t>
  </si>
  <si>
    <t>-</t>
  </si>
  <si>
    <t>Zircon 002</t>
  </si>
  <si>
    <t>Zircon 003</t>
  </si>
  <si>
    <t>Zircon 004</t>
  </si>
  <si>
    <t>GIA_BUR_01_Cube1</t>
  </si>
  <si>
    <t>Zircon 005</t>
  </si>
  <si>
    <t>Blank ~12 hrs in oven at 110ºC</t>
  </si>
  <si>
    <t>1 atm</t>
  </si>
  <si>
    <t>AFG-Z-3.3 and AFG-Z-3.4</t>
  </si>
  <si>
    <t>Successful experiment. H2O, and 2 crystals collected for analysis. No glass observed in the outer capsule, 29Si powder found in the inner capsule.</t>
  </si>
  <si>
    <t>No</t>
  </si>
  <si>
    <t>Zircon 006</t>
  </si>
  <si>
    <t>1 Hr</t>
  </si>
  <si>
    <t>AFG-Z-3.5 and AFG-Z-3.6</t>
  </si>
  <si>
    <t>Successful experiment. H2O, and 2 crystals collected for analysis. No glass observed in the outer capsule</t>
  </si>
  <si>
    <t>Yes</t>
  </si>
  <si>
    <t>Zircon 007</t>
  </si>
  <si>
    <t>8 Hr</t>
  </si>
  <si>
    <t>AFG-Z-3.7 and AFG-Z-3.8</t>
  </si>
  <si>
    <t>Successful experiment.  H2O, and 2 crystals collected for analysis. No glass observed in the outer capsule</t>
  </si>
  <si>
    <t>Zircon 008</t>
  </si>
  <si>
    <t>24 Hr</t>
  </si>
  <si>
    <t>Unsuccessful experiment. Capsule Crushed</t>
  </si>
  <si>
    <t>Zircon 009</t>
  </si>
  <si>
    <t>7 days</t>
  </si>
  <si>
    <t>Mud Tank Zircon cubes</t>
  </si>
  <si>
    <t>USGS-49 water, 29Si, Mud tank Zircon</t>
  </si>
  <si>
    <t>Zircon 010</t>
  </si>
  <si>
    <t>14 days</t>
  </si>
  <si>
    <t>Zircon 011</t>
  </si>
  <si>
    <t>21 days</t>
  </si>
  <si>
    <t>Zircon 012</t>
  </si>
  <si>
    <t>blank (110ºC)</t>
  </si>
  <si>
    <t>Zircon 014</t>
  </si>
  <si>
    <t>3 days</t>
  </si>
  <si>
    <t>Afghanistan Zircon (Partially Metamict) AFG-Z-9.1-5 cube 2 and AFG-Z-9.1-2 cube 2</t>
  </si>
  <si>
    <t>USGS-49 water, 1M NaF, 29Si, Afghanistan zircon (partially metamict)</t>
  </si>
  <si>
    <t>Zircon 015</t>
  </si>
  <si>
    <t>19 Days</t>
  </si>
  <si>
    <t>Afghanistan Zircon (Partially Metamict) AFG-Z-9.1-5 cube 1 and AFG-Z-9.1-2 cube 1</t>
  </si>
  <si>
    <t>Zircon 016</t>
  </si>
  <si>
    <t>7 Days</t>
  </si>
  <si>
    <t>Afghanistan Zircon (Partially Metamict) AFG-Z-9.1-3 and AFG-Z-4.2-4 cube 2</t>
  </si>
  <si>
    <t>Yes!</t>
  </si>
  <si>
    <t>Zircon 017</t>
  </si>
  <si>
    <t>24 Hrs</t>
  </si>
  <si>
    <t>Norway Zircon powder + fragments</t>
  </si>
  <si>
    <t>USGS-49, 29Si, Norway Zircon</t>
  </si>
  <si>
    <t>Zircon 018</t>
  </si>
  <si>
    <t>USGS-49, 1M NaF, 29Si, Norway Zircon</t>
  </si>
  <si>
    <t>Zircon 019</t>
  </si>
  <si>
    <t>1M HCl (mixed 10.3 µl 36%HCl with 110 µl USGS-49 water in capsule), 29Si, Norway Zircon</t>
  </si>
  <si>
    <t>?</t>
  </si>
  <si>
    <t>Norway zircon cubes</t>
  </si>
  <si>
    <t>USGS-49 water, 29Si, Norway zircon cubes (Disco)</t>
  </si>
  <si>
    <t>Zircon 021</t>
  </si>
  <si>
    <t>Zircon 022</t>
  </si>
  <si>
    <t>Expt</t>
  </si>
  <si>
    <t>Run Time (d)</t>
  </si>
  <si>
    <t>T (ºC)</t>
  </si>
  <si>
    <t>P (GPa)</t>
  </si>
  <si>
    <t>Starting material*</t>
  </si>
  <si>
    <t>Total zircon mass (mg)</t>
  </si>
  <si>
    <t>Mass of 29SiO2</t>
  </si>
  <si>
    <t>Mass SiO2 Qtz Sat (mg)</t>
  </si>
  <si>
    <t>Quenched Silica (mg)</t>
  </si>
  <si>
    <t>Z_005</t>
  </si>
  <si>
    <t>Z_006</t>
  </si>
  <si>
    <t>Z_007</t>
  </si>
  <si>
    <t>Z_009</t>
  </si>
  <si>
    <t>MTZ cubes</t>
  </si>
  <si>
    <t>Z_010</t>
  </si>
  <si>
    <t>Z_011</t>
  </si>
  <si>
    <t>Z_012</t>
  </si>
  <si>
    <t>Z_014</t>
  </si>
  <si>
    <t>Z_015</t>
  </si>
  <si>
    <t>Z_016</t>
  </si>
  <si>
    <t>Z_017</t>
  </si>
  <si>
    <t>NWY powder + chips</t>
  </si>
  <si>
    <t>Z_018</t>
  </si>
  <si>
    <t>Z_019</t>
  </si>
  <si>
    <t>Z_021</t>
  </si>
  <si>
    <t>NWY cubes</t>
  </si>
  <si>
    <t>Z_022</t>
  </si>
  <si>
    <t>NWY = Norway zircon (metamict), AFG = Afghanistan Zircon (Partially Metamict), MTZ = Mud Tank zircon (crystalline)</t>
  </si>
  <si>
    <t>Molality NaF</t>
  </si>
  <si>
    <t>NWY powder + chips + 1 m HCl</t>
  </si>
  <si>
    <t>AFG cubes + NaF</t>
  </si>
  <si>
    <t>NWY powder + chips + NaF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</si>
</sst>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defaultColWidth="9.140625" defaultRowHeight="15" x14ac:dyDescent="0.25"/>
  <cols>
    <col min="1" max="1" width="17" style="1" bestFit="1" customWidth="1"/>
    <col min="2" max="2" width="19" style="1" customWidth="1"/>
    <col min="3" max="3" width="18.42578125" style="1" bestFit="1" customWidth="1"/>
    <col min="4" max="4" width="18.42578125" style="1" customWidth="1"/>
    <col min="5" max="5" width="18.140625" style="1" customWidth="1"/>
    <col min="6" max="8" width="17.5703125" style="1" customWidth="1"/>
    <col min="9" max="9" width="48" style="1" customWidth="1"/>
    <col min="10" max="10" width="48.42578125" style="1" customWidth="1"/>
    <col min="11" max="11" width="17.140625" style="1" customWidth="1"/>
    <col min="12" max="14" width="15" style="1" customWidth="1"/>
    <col min="15" max="17" width="9.140625" style="1" customWidth="1"/>
    <col min="18" max="18" width="10.140625" style="1" bestFit="1" customWidth="1"/>
    <col min="19" max="19" width="15.140625" style="1" customWidth="1"/>
    <col min="20" max="20" width="9.140625" style="1" customWidth="1"/>
    <col min="21" max="21" width="9.5703125" style="1" bestFit="1" customWidth="1"/>
    <col min="22" max="22" width="9.140625" style="1" customWidth="1"/>
    <col min="23" max="16384" width="9.140625" style="1"/>
  </cols>
  <sheetData>
    <row r="1" spans="1:21" ht="45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30" customHeight="1" x14ac:dyDescent="0.25">
      <c r="A2" s="1" t="s">
        <v>21</v>
      </c>
      <c r="B2" s="2">
        <v>45114</v>
      </c>
      <c r="C2" s="2">
        <v>45145</v>
      </c>
      <c r="D2" s="2"/>
      <c r="E2" s="1">
        <v>800</v>
      </c>
      <c r="F2" s="1">
        <v>1</v>
      </c>
      <c r="I2" s="1" t="s">
        <v>22</v>
      </c>
      <c r="J2" s="4" t="s">
        <v>23</v>
      </c>
      <c r="K2" s="1" t="s">
        <v>24</v>
      </c>
    </row>
    <row r="3" spans="1:21" ht="30" customHeight="1" x14ac:dyDescent="0.25">
      <c r="A3" s="1" t="s">
        <v>25</v>
      </c>
      <c r="B3" s="2">
        <v>45114</v>
      </c>
      <c r="C3" s="2">
        <v>45145</v>
      </c>
      <c r="D3" s="2"/>
      <c r="E3" s="1">
        <v>800</v>
      </c>
      <c r="F3" s="1">
        <v>1</v>
      </c>
      <c r="I3" s="1" t="s">
        <v>22</v>
      </c>
      <c r="J3" s="4" t="s">
        <v>23</v>
      </c>
      <c r="K3" s="1" t="s">
        <v>24</v>
      </c>
    </row>
    <row r="4" spans="1:21" x14ac:dyDescent="0.25">
      <c r="A4" s="1" t="s">
        <v>26</v>
      </c>
      <c r="B4" s="2">
        <v>45156</v>
      </c>
      <c r="E4" s="1">
        <v>800</v>
      </c>
      <c r="F4" s="1">
        <v>1</v>
      </c>
      <c r="I4" s="1" t="s">
        <v>27</v>
      </c>
      <c r="J4" s="4" t="s">
        <v>28</v>
      </c>
      <c r="K4" s="1" t="s">
        <v>24</v>
      </c>
      <c r="L4" s="1" t="s">
        <v>29</v>
      </c>
      <c r="M4" s="1" t="s">
        <v>29</v>
      </c>
      <c r="O4" s="1">
        <f>103.2888-103.2454</f>
        <v>4.3399999999991223E-2</v>
      </c>
      <c r="P4" s="5">
        <f>1823.7409-1648.593</f>
        <v>175.14789999999994</v>
      </c>
      <c r="Q4" s="1" t="s">
        <v>29</v>
      </c>
      <c r="S4" s="1">
        <f>103.2454-103.1882</f>
        <v>5.7200000000008799E-2</v>
      </c>
    </row>
    <row r="5" spans="1:21" x14ac:dyDescent="0.25">
      <c r="A5" s="1" t="s">
        <v>30</v>
      </c>
      <c r="B5" s="2">
        <v>45156</v>
      </c>
      <c r="E5" s="1">
        <v>450</v>
      </c>
      <c r="F5" s="1">
        <v>1</v>
      </c>
      <c r="I5" s="1" t="s">
        <v>27</v>
      </c>
      <c r="J5" s="4" t="s">
        <v>28</v>
      </c>
      <c r="K5" s="1" t="s">
        <v>24</v>
      </c>
      <c r="L5" s="1" t="s">
        <v>29</v>
      </c>
      <c r="M5" s="1" t="s">
        <v>29</v>
      </c>
      <c r="O5" s="1">
        <f>113.3383-113.1182</f>
        <v>0.22010000000000218</v>
      </c>
      <c r="P5" s="1">
        <v>130</v>
      </c>
      <c r="Q5" s="1" t="s">
        <v>29</v>
      </c>
      <c r="S5" s="1">
        <f>113.1182-113.0946</f>
        <v>2.3600000000001842E-2</v>
      </c>
    </row>
    <row r="6" spans="1:21" x14ac:dyDescent="0.25">
      <c r="A6" s="1" t="s">
        <v>31</v>
      </c>
      <c r="I6" s="1" t="s">
        <v>27</v>
      </c>
      <c r="J6" s="4"/>
      <c r="K6" s="1" t="s">
        <v>24</v>
      </c>
      <c r="L6" s="1" t="s">
        <v>29</v>
      </c>
      <c r="M6" s="1" t="s">
        <v>29</v>
      </c>
      <c r="O6" s="1">
        <f>96.2945-96.153</f>
        <v>0.14149999999999352</v>
      </c>
      <c r="P6" s="1">
        <v>130</v>
      </c>
      <c r="Q6" s="1" t="s">
        <v>29</v>
      </c>
      <c r="S6" s="1">
        <f>96.1703-96.153</f>
        <v>1.7299999999991655E-2</v>
      </c>
    </row>
    <row r="7" spans="1:21" x14ac:dyDescent="0.25">
      <c r="A7" s="1" t="s">
        <v>32</v>
      </c>
      <c r="B7" s="2">
        <v>45170</v>
      </c>
      <c r="C7" s="2">
        <v>45208</v>
      </c>
      <c r="I7" s="1" t="s">
        <v>33</v>
      </c>
      <c r="J7" s="4"/>
      <c r="K7" s="1" t="s">
        <v>24</v>
      </c>
      <c r="L7" s="1">
        <v>29.363299999999999</v>
      </c>
      <c r="M7" s="1" t="s">
        <v>29</v>
      </c>
      <c r="O7" s="1">
        <f>80.2833-80.0498</f>
        <v>0.23349999999999227</v>
      </c>
      <c r="P7" s="5">
        <f>1950.587-1780.8075</f>
        <v>169.7795000000001</v>
      </c>
      <c r="Q7" s="1" t="s">
        <v>29</v>
      </c>
      <c r="S7" s="1" t="s">
        <v>29</v>
      </c>
    </row>
    <row r="8" spans="1:21" ht="45" customHeight="1" x14ac:dyDescent="0.25">
      <c r="A8" s="1" t="s">
        <v>34</v>
      </c>
      <c r="B8" s="2">
        <v>45252</v>
      </c>
      <c r="D8" s="4" t="s">
        <v>35</v>
      </c>
      <c r="E8" s="1">
        <v>110</v>
      </c>
      <c r="F8" s="1" t="s">
        <v>36</v>
      </c>
      <c r="G8" s="1">
        <v>175</v>
      </c>
      <c r="I8" s="1" t="s">
        <v>37</v>
      </c>
      <c r="J8" s="4" t="s">
        <v>38</v>
      </c>
      <c r="K8" s="1" t="s">
        <v>39</v>
      </c>
      <c r="L8" s="1">
        <v>12.569800000000001</v>
      </c>
      <c r="M8" s="1">
        <v>7.4934000000000003</v>
      </c>
      <c r="N8" s="1">
        <f>SUM(L8:M8)</f>
        <v>20.063200000000002</v>
      </c>
      <c r="O8" s="1">
        <v>1.3466</v>
      </c>
      <c r="P8" s="1">
        <v>120</v>
      </c>
      <c r="Q8" s="1">
        <v>2.1429999999999998</v>
      </c>
      <c r="R8" s="11">
        <f>(Q8*0.001/41.988)/(P8*0.000001)</f>
        <v>0.42531993267917817</v>
      </c>
      <c r="S8" s="1" t="s">
        <v>29</v>
      </c>
    </row>
    <row r="9" spans="1:21" ht="30" customHeight="1" x14ac:dyDescent="0.25">
      <c r="A9" s="1" t="s">
        <v>40</v>
      </c>
      <c r="B9" s="2">
        <v>45252</v>
      </c>
      <c r="D9" s="1" t="s">
        <v>41</v>
      </c>
      <c r="E9" s="1">
        <v>600</v>
      </c>
      <c r="F9" s="1">
        <v>2</v>
      </c>
      <c r="G9" s="1">
        <v>7260</v>
      </c>
      <c r="H9" s="1">
        <v>5.96</v>
      </c>
      <c r="I9" s="1" t="s">
        <v>42</v>
      </c>
      <c r="J9" s="4" t="s">
        <v>43</v>
      </c>
      <c r="K9" s="1" t="s">
        <v>44</v>
      </c>
      <c r="L9" s="1">
        <v>12.023199999999999</v>
      </c>
      <c r="M9" s="1">
        <v>11.176600000000001</v>
      </c>
      <c r="N9" s="1">
        <f>SUM(L9:M9)</f>
        <v>23.1998</v>
      </c>
      <c r="O9" s="1">
        <v>1.2353000000000001</v>
      </c>
      <c r="P9" s="1">
        <v>120</v>
      </c>
      <c r="Q9" s="1">
        <v>2.1360000000000001</v>
      </c>
      <c r="R9" s="11">
        <f>(Q9*0.001/41.988)/(P9*0.000001)</f>
        <v>0.42393064685148146</v>
      </c>
      <c r="S9" s="1" t="s">
        <v>29</v>
      </c>
      <c r="T9" s="1">
        <v>2.780100000000004</v>
      </c>
      <c r="U9" s="1">
        <f>P9*0.000001*G9</f>
        <v>0.87119999999999997</v>
      </c>
    </row>
    <row r="10" spans="1:21" ht="30" customHeight="1" x14ac:dyDescent="0.25">
      <c r="A10" s="1" t="s">
        <v>45</v>
      </c>
      <c r="B10" s="2">
        <v>45252</v>
      </c>
      <c r="D10" s="1" t="s">
        <v>46</v>
      </c>
      <c r="E10" s="1">
        <v>600</v>
      </c>
      <c r="F10" s="1">
        <v>2</v>
      </c>
      <c r="G10" s="1">
        <v>7260</v>
      </c>
      <c r="H10" s="1">
        <v>5.96</v>
      </c>
      <c r="I10" s="1" t="s">
        <v>47</v>
      </c>
      <c r="J10" s="4" t="s">
        <v>48</v>
      </c>
      <c r="K10" s="1" t="s">
        <v>44</v>
      </c>
      <c r="L10" s="1">
        <v>8.9417000000000009</v>
      </c>
      <c r="M10" s="1">
        <v>17.922000000000001</v>
      </c>
      <c r="N10" s="1">
        <f>SUM(L10:M10)</f>
        <v>26.863700000000001</v>
      </c>
      <c r="O10" s="1">
        <v>1.1738999999999999</v>
      </c>
      <c r="P10" s="1">
        <v>120</v>
      </c>
      <c r="Q10" s="1">
        <v>2.1667000000000001</v>
      </c>
      <c r="R10" s="11">
        <f>(Q10*0.001/41.988)/(P10*0.000001)</f>
        <v>0.43002365755295169</v>
      </c>
      <c r="S10" s="1" t="s">
        <v>29</v>
      </c>
      <c r="T10" s="1">
        <v>0.2193999999999505</v>
      </c>
      <c r="U10" s="1">
        <f>P10*0.000001*G10</f>
        <v>0.87119999999999997</v>
      </c>
    </row>
    <row r="11" spans="1:21" x14ac:dyDescent="0.25">
      <c r="A11" s="1" t="s">
        <v>49</v>
      </c>
      <c r="B11" s="2">
        <v>45257</v>
      </c>
      <c r="C11" s="2">
        <v>45258</v>
      </c>
      <c r="D11" s="1" t="s">
        <v>50</v>
      </c>
      <c r="E11" s="1">
        <v>1000</v>
      </c>
      <c r="F11" s="1">
        <v>10</v>
      </c>
      <c r="J11" s="4" t="s">
        <v>51</v>
      </c>
      <c r="L11" s="1" t="s">
        <v>29</v>
      </c>
      <c r="M11" s="1" t="s">
        <v>29</v>
      </c>
      <c r="O11" s="1" t="s">
        <v>29</v>
      </c>
      <c r="P11" s="1" t="s">
        <v>29</v>
      </c>
      <c r="Q11" s="1" t="s">
        <v>29</v>
      </c>
      <c r="S11" s="1" t="s">
        <v>29</v>
      </c>
    </row>
    <row r="12" spans="1:21" x14ac:dyDescent="0.25">
      <c r="A12" s="1" t="s">
        <v>52</v>
      </c>
      <c r="B12" s="2">
        <v>45315</v>
      </c>
      <c r="C12" s="2">
        <v>45322</v>
      </c>
      <c r="D12" s="1" t="s">
        <v>53</v>
      </c>
      <c r="E12" s="1">
        <v>750</v>
      </c>
      <c r="F12" s="1">
        <v>2</v>
      </c>
      <c r="G12" s="10">
        <v>12400</v>
      </c>
      <c r="H12" s="1">
        <v>7.21</v>
      </c>
      <c r="I12" s="1" t="s">
        <v>54</v>
      </c>
      <c r="J12" s="4" t="s">
        <v>55</v>
      </c>
      <c r="K12" s="1" t="s">
        <v>39</v>
      </c>
      <c r="L12" s="1">
        <v>9.4474</v>
      </c>
      <c r="M12" s="1">
        <v>10.553000000000001</v>
      </c>
      <c r="N12" s="1">
        <f t="shared" ref="N12:N18" si="0">SUM(L12:M12)</f>
        <v>20.000399999999999</v>
      </c>
      <c r="O12" s="1">
        <f>115.9289-114.8693</f>
        <v>1.0596000000000032</v>
      </c>
      <c r="P12" s="1">
        <v>120</v>
      </c>
      <c r="Q12" s="1" t="s">
        <v>29</v>
      </c>
      <c r="S12" s="1" t="s">
        <v>29</v>
      </c>
      <c r="T12" s="1">
        <v>1.3021999999999709</v>
      </c>
      <c r="U12" s="10">
        <f>P12*0.000001*G12</f>
        <v>1.4879999999999998</v>
      </c>
    </row>
    <row r="13" spans="1:21" x14ac:dyDescent="0.25">
      <c r="A13" s="1" t="s">
        <v>56</v>
      </c>
      <c r="B13" s="2">
        <v>45315</v>
      </c>
      <c r="C13" s="2">
        <v>45329</v>
      </c>
      <c r="D13" s="1" t="s">
        <v>57</v>
      </c>
      <c r="E13" s="1">
        <v>750</v>
      </c>
      <c r="F13" s="1">
        <v>2</v>
      </c>
      <c r="G13" s="10">
        <v>12400</v>
      </c>
      <c r="H13" s="1">
        <v>7.21</v>
      </c>
      <c r="I13" s="1" t="s">
        <v>54</v>
      </c>
      <c r="J13" s="4" t="s">
        <v>55</v>
      </c>
      <c r="K13" s="1" t="s">
        <v>39</v>
      </c>
      <c r="L13" s="1">
        <v>13.519500000000001</v>
      </c>
      <c r="M13" s="1">
        <v>9.8030000000000008</v>
      </c>
      <c r="N13" s="1">
        <f t="shared" si="0"/>
        <v>23.322500000000002</v>
      </c>
      <c r="O13" s="1">
        <f>174.3108-173.1998</f>
        <v>1.11099999999999</v>
      </c>
      <c r="P13" s="1">
        <v>120</v>
      </c>
      <c r="Q13" s="1" t="s">
        <v>29</v>
      </c>
      <c r="S13" s="1" t="s">
        <v>29</v>
      </c>
    </row>
    <row r="14" spans="1:21" x14ac:dyDescent="0.25">
      <c r="A14" s="1" t="s">
        <v>58</v>
      </c>
      <c r="B14" s="2">
        <v>45315</v>
      </c>
      <c r="C14" s="2">
        <v>45336</v>
      </c>
      <c r="D14" s="1" t="s">
        <v>59</v>
      </c>
      <c r="E14" s="1">
        <v>750</v>
      </c>
      <c r="F14" s="1">
        <v>2</v>
      </c>
      <c r="G14" s="10">
        <v>12400</v>
      </c>
      <c r="H14" s="1">
        <v>7.21</v>
      </c>
      <c r="I14" s="1" t="s">
        <v>54</v>
      </c>
      <c r="J14" s="4" t="s">
        <v>55</v>
      </c>
      <c r="K14" s="1" t="s">
        <v>39</v>
      </c>
      <c r="L14" s="1">
        <v>7.8865999999999996</v>
      </c>
      <c r="M14" s="1">
        <v>5.0461</v>
      </c>
      <c r="N14" s="1">
        <f t="shared" si="0"/>
        <v>12.932700000000001</v>
      </c>
      <c r="O14" s="1">
        <f>141.3287-140.1758</f>
        <v>1.1528999999999883</v>
      </c>
      <c r="P14" s="1">
        <v>120</v>
      </c>
      <c r="Q14" s="1" t="s">
        <v>29</v>
      </c>
      <c r="S14" s="1" t="s">
        <v>29</v>
      </c>
      <c r="T14" s="1">
        <v>0.72870000000000346</v>
      </c>
      <c r="U14" s="1">
        <f>P14*0.000001*G14</f>
        <v>1.4879999999999998</v>
      </c>
    </row>
    <row r="15" spans="1:21" x14ac:dyDescent="0.25">
      <c r="A15" s="1" t="s">
        <v>60</v>
      </c>
      <c r="B15" s="2">
        <v>45315</v>
      </c>
      <c r="C15" s="2">
        <v>45315</v>
      </c>
      <c r="D15" s="1" t="s">
        <v>35</v>
      </c>
      <c r="E15" s="1" t="s">
        <v>61</v>
      </c>
      <c r="F15" s="1" t="s">
        <v>36</v>
      </c>
      <c r="G15" s="1">
        <v>175</v>
      </c>
      <c r="I15" s="1" t="s">
        <v>54</v>
      </c>
      <c r="J15" s="4" t="s">
        <v>55</v>
      </c>
      <c r="K15" s="1" t="s">
        <v>39</v>
      </c>
      <c r="L15" s="1">
        <v>10.9602</v>
      </c>
      <c r="M15" s="1">
        <v>7.5221</v>
      </c>
      <c r="N15" s="1">
        <f t="shared" si="0"/>
        <v>18.482300000000002</v>
      </c>
      <c r="O15" s="1">
        <f>144.8788-143.8307</f>
        <v>1.0481000000000051</v>
      </c>
      <c r="P15" s="1">
        <v>120</v>
      </c>
      <c r="Q15" s="1" t="s">
        <v>29</v>
      </c>
      <c r="S15" s="1" t="s">
        <v>29</v>
      </c>
    </row>
    <row r="16" spans="1:21" ht="30" customHeight="1" x14ac:dyDescent="0.25">
      <c r="A16" s="1" t="s">
        <v>62</v>
      </c>
      <c r="B16" s="2">
        <v>45335</v>
      </c>
      <c r="C16" s="2">
        <v>45338</v>
      </c>
      <c r="D16" s="1" t="s">
        <v>63</v>
      </c>
      <c r="E16" s="1">
        <v>800</v>
      </c>
      <c r="F16" s="1">
        <v>2</v>
      </c>
      <c r="G16" s="10">
        <v>14280</v>
      </c>
      <c r="H16" s="1">
        <v>9.6</v>
      </c>
      <c r="I16" s="4" t="s">
        <v>64</v>
      </c>
      <c r="J16" s="4" t="s">
        <v>65</v>
      </c>
      <c r="K16" s="1" t="s">
        <v>39</v>
      </c>
      <c r="L16" s="1">
        <v>11.3362</v>
      </c>
      <c r="M16" s="1">
        <v>6.5960000000000001</v>
      </c>
      <c r="N16" s="1">
        <f t="shared" si="0"/>
        <v>17.932200000000002</v>
      </c>
      <c r="O16" s="1">
        <v>1.768</v>
      </c>
      <c r="P16" s="1">
        <v>120</v>
      </c>
      <c r="Q16" s="1">
        <v>4.4800000000000004</v>
      </c>
      <c r="R16" s="11">
        <f>(Q16*0.001/41.988)/(P16*0.000001)</f>
        <v>0.88914292972595355</v>
      </c>
      <c r="S16" s="1" t="s">
        <v>29</v>
      </c>
      <c r="T16" s="1">
        <v>0.20210000000002989</v>
      </c>
      <c r="U16" s="1">
        <f>P16*0.000001*G16</f>
        <v>1.7135999999999998</v>
      </c>
    </row>
    <row r="17" spans="1:21" ht="30" customHeight="1" x14ac:dyDescent="0.25">
      <c r="A17" s="1" t="s">
        <v>66</v>
      </c>
      <c r="B17" s="2">
        <v>45357</v>
      </c>
      <c r="C17" s="2">
        <v>45376</v>
      </c>
      <c r="D17" s="1" t="s">
        <v>67</v>
      </c>
      <c r="E17" s="1">
        <v>800</v>
      </c>
      <c r="F17" s="1">
        <v>2</v>
      </c>
      <c r="G17" s="10">
        <v>14280</v>
      </c>
      <c r="H17" s="1">
        <v>9.6</v>
      </c>
      <c r="I17" s="4" t="s">
        <v>68</v>
      </c>
      <c r="J17" s="4" t="s">
        <v>65</v>
      </c>
      <c r="K17" s="1" t="s">
        <v>44</v>
      </c>
      <c r="L17" s="1">
        <v>17.8169</v>
      </c>
      <c r="M17" s="1">
        <v>16.972100000000001</v>
      </c>
      <c r="N17" s="1">
        <f t="shared" si="0"/>
        <v>34.789000000000001</v>
      </c>
      <c r="O17" s="1">
        <v>1.6950000000000001</v>
      </c>
      <c r="P17" s="1">
        <v>120</v>
      </c>
      <c r="Q17" s="1">
        <v>5.1722999999999999</v>
      </c>
      <c r="R17" s="11">
        <f>(Q17*0.001/41.988)/(P17*0.000001)</f>
        <v>1.0265432980851674</v>
      </c>
      <c r="S17" s="1" t="s">
        <v>29</v>
      </c>
      <c r="T17" s="1">
        <v>0.53779999999994743</v>
      </c>
      <c r="U17" s="1">
        <f>P17*0.000001*G17</f>
        <v>1.7135999999999998</v>
      </c>
    </row>
    <row r="18" spans="1:21" ht="30" customHeight="1" x14ac:dyDescent="0.25">
      <c r="A18" s="1" t="s">
        <v>69</v>
      </c>
      <c r="B18" s="2">
        <v>45343</v>
      </c>
      <c r="C18" s="2">
        <v>45350</v>
      </c>
      <c r="D18" s="1" t="s">
        <v>70</v>
      </c>
      <c r="E18" s="1">
        <v>800</v>
      </c>
      <c r="F18" s="1">
        <v>2</v>
      </c>
      <c r="G18" s="10">
        <v>14280</v>
      </c>
      <c r="H18" s="1">
        <v>9.6</v>
      </c>
      <c r="I18" s="4" t="s">
        <v>71</v>
      </c>
      <c r="J18" s="4" t="s">
        <v>65</v>
      </c>
      <c r="K18" s="1" t="s">
        <v>72</v>
      </c>
      <c r="L18" s="1">
        <v>21.060600000000001</v>
      </c>
      <c r="M18" s="1">
        <v>6.1132999999999997</v>
      </c>
      <c r="N18" s="1">
        <f t="shared" si="0"/>
        <v>27.1739</v>
      </c>
      <c r="O18" s="1">
        <v>2.073</v>
      </c>
      <c r="P18" s="1">
        <v>120</v>
      </c>
      <c r="Q18" s="1">
        <v>5.0224000000000002</v>
      </c>
      <c r="R18" s="11">
        <f>(Q18*0.001/41.988)/(P18*0.000001)</f>
        <v>0.99679273443206018</v>
      </c>
      <c r="S18" s="1" t="s">
        <v>29</v>
      </c>
      <c r="T18" s="1">
        <v>0.78980000000001382</v>
      </c>
      <c r="U18" s="1">
        <f>P18*0.000001*G18</f>
        <v>1.7135999999999998</v>
      </c>
    </row>
    <row r="19" spans="1:21" x14ac:dyDescent="0.25">
      <c r="A19" s="1" t="s">
        <v>73</v>
      </c>
      <c r="B19" s="2">
        <v>45351</v>
      </c>
      <c r="C19" s="2">
        <v>45352</v>
      </c>
      <c r="D19" s="1" t="s">
        <v>74</v>
      </c>
      <c r="E19" s="1">
        <v>600</v>
      </c>
      <c r="F19" s="1">
        <v>2</v>
      </c>
      <c r="G19" s="1">
        <v>7260</v>
      </c>
      <c r="H19" s="1">
        <v>5.96</v>
      </c>
      <c r="I19" s="1" t="s">
        <v>75</v>
      </c>
      <c r="J19" s="4" t="s">
        <v>76</v>
      </c>
      <c r="K19" s="1" t="s">
        <v>44</v>
      </c>
      <c r="L19" s="1" t="s">
        <v>29</v>
      </c>
      <c r="M19" s="1" t="s">
        <v>29</v>
      </c>
      <c r="O19" s="1">
        <f>152.1043-150.8015</f>
        <v>1.3027999999999906</v>
      </c>
      <c r="P19" s="1">
        <v>120</v>
      </c>
      <c r="Q19" s="1" t="s">
        <v>29</v>
      </c>
      <c r="S19" s="1">
        <f>178.676-152.1043</f>
        <v>26.571699999999993</v>
      </c>
      <c r="U19" s="1">
        <f>P19*0.000001*G19</f>
        <v>0.87119999999999997</v>
      </c>
    </row>
    <row r="20" spans="1:21" x14ac:dyDescent="0.25">
      <c r="A20" s="1" t="s">
        <v>77</v>
      </c>
      <c r="B20" s="2">
        <v>45350</v>
      </c>
      <c r="C20" s="2">
        <v>45351</v>
      </c>
      <c r="D20" s="1" t="s">
        <v>74</v>
      </c>
      <c r="E20" s="1">
        <v>600</v>
      </c>
      <c r="F20" s="1">
        <v>2</v>
      </c>
      <c r="G20" s="1">
        <v>7332</v>
      </c>
      <c r="H20" s="1">
        <v>8.4600000000000009</v>
      </c>
      <c r="I20" s="1" t="s">
        <v>75</v>
      </c>
      <c r="J20" s="4" t="s">
        <v>78</v>
      </c>
      <c r="K20" s="1" t="s">
        <v>44</v>
      </c>
      <c r="L20" s="1" t="s">
        <v>29</v>
      </c>
      <c r="M20" s="1" t="s">
        <v>29</v>
      </c>
      <c r="O20" s="1">
        <f>146.2798-144.7605</f>
        <v>1.519299999999987</v>
      </c>
      <c r="P20" s="1">
        <v>120</v>
      </c>
      <c r="Q20" s="1">
        <f>1700.128-1694.7214</f>
        <v>5.4066000000000258</v>
      </c>
      <c r="R20" s="11">
        <f>(Q20*0.001/41.988)/(P20*0.000001)</f>
        <v>1.0730446794322239</v>
      </c>
      <c r="S20" s="1">
        <f>172.4678-146.2798</f>
        <v>26.188000000000017</v>
      </c>
    </row>
    <row r="21" spans="1:21" ht="30" customHeight="1" x14ac:dyDescent="0.25">
      <c r="A21" s="1" t="s">
        <v>79</v>
      </c>
      <c r="B21" s="2">
        <v>45350</v>
      </c>
      <c r="C21" s="2">
        <v>45351</v>
      </c>
      <c r="D21" s="1" t="s">
        <v>74</v>
      </c>
      <c r="E21" s="1">
        <v>600</v>
      </c>
      <c r="F21" s="1">
        <v>2</v>
      </c>
      <c r="G21" s="1">
        <v>7010</v>
      </c>
      <c r="H21" s="1">
        <v>1.75</v>
      </c>
      <c r="I21" s="1" t="s">
        <v>75</v>
      </c>
      <c r="J21" s="4" t="s">
        <v>80</v>
      </c>
      <c r="K21" s="1" t="s">
        <v>81</v>
      </c>
      <c r="L21" s="1" t="s">
        <v>29</v>
      </c>
      <c r="M21" s="1" t="s">
        <v>29</v>
      </c>
      <c r="O21" s="1">
        <f>125.8417-124.2025</f>
        <v>1.6392000000000024</v>
      </c>
      <c r="P21" s="1">
        <v>110</v>
      </c>
      <c r="Q21" s="1" t="s">
        <v>29</v>
      </c>
      <c r="S21" s="1">
        <f>144.6602-125.8417</f>
        <v>18.8185</v>
      </c>
    </row>
    <row r="22" spans="1:21" x14ac:dyDescent="0.25">
      <c r="A22" s="1" t="s">
        <v>84</v>
      </c>
      <c r="B22" s="2">
        <v>45384</v>
      </c>
      <c r="C22" s="2">
        <v>45387</v>
      </c>
      <c r="D22" s="1" t="s">
        <v>63</v>
      </c>
      <c r="E22" s="1">
        <v>800</v>
      </c>
      <c r="F22" s="1">
        <v>1</v>
      </c>
      <c r="G22" s="10">
        <v>14500</v>
      </c>
      <c r="H22" s="1">
        <v>7.6</v>
      </c>
      <c r="I22" s="1" t="s">
        <v>82</v>
      </c>
      <c r="J22" s="4" t="s">
        <v>83</v>
      </c>
      <c r="K22" s="1" t="s">
        <v>81</v>
      </c>
      <c r="L22" s="12">
        <f>173.1019-160.1331</f>
        <v>12.968799999999987</v>
      </c>
      <c r="M22" s="12"/>
      <c r="O22" s="1">
        <f>(174.4643-173.1019)+(1735.9271-1733.7685)</f>
        <v>3.521000000000214</v>
      </c>
      <c r="P22" s="1">
        <v>120</v>
      </c>
      <c r="Q22" s="1" t="s">
        <v>29</v>
      </c>
      <c r="S22" s="1" t="s">
        <v>29</v>
      </c>
    </row>
    <row r="23" spans="1:21" x14ac:dyDescent="0.25">
      <c r="A23" s="1" t="s">
        <v>85</v>
      </c>
      <c r="B23" s="2">
        <v>45384</v>
      </c>
      <c r="C23" s="2">
        <v>45391</v>
      </c>
      <c r="D23" s="1" t="s">
        <v>53</v>
      </c>
      <c r="E23" s="1">
        <v>800</v>
      </c>
      <c r="F23" s="1">
        <v>1</v>
      </c>
      <c r="G23" s="10">
        <v>14500</v>
      </c>
      <c r="H23" s="1">
        <v>7.6</v>
      </c>
      <c r="I23" s="1" t="s">
        <v>82</v>
      </c>
      <c r="J23" s="4" t="s">
        <v>83</v>
      </c>
      <c r="K23" s="1" t="s">
        <v>81</v>
      </c>
      <c r="L23" s="12">
        <f>174.854-163.7575</f>
        <v>11.09650000000002</v>
      </c>
      <c r="M23" s="12"/>
      <c r="O23" s="1">
        <f>(175.9563-174.854)+(1727.6003-1726.7132)</f>
        <v>1.9894000000001313</v>
      </c>
      <c r="P23" s="1">
        <v>120</v>
      </c>
      <c r="Q23" s="1" t="s">
        <v>29</v>
      </c>
      <c r="S23" s="1" t="s">
        <v>29</v>
      </c>
    </row>
    <row r="24" spans="1:21" x14ac:dyDescent="0.25">
      <c r="J24" s="4"/>
    </row>
    <row r="25" spans="1:21" x14ac:dyDescent="0.25">
      <c r="J25" s="4"/>
    </row>
    <row r="26" spans="1:21" x14ac:dyDescent="0.25">
      <c r="J26" s="4"/>
    </row>
    <row r="27" spans="1:21" x14ac:dyDescent="0.25">
      <c r="J27" s="4"/>
    </row>
    <row r="28" spans="1:21" x14ac:dyDescent="0.25">
      <c r="J28" s="4"/>
    </row>
    <row r="29" spans="1:21" x14ac:dyDescent="0.25">
      <c r="J29" s="4"/>
    </row>
    <row r="30" spans="1:21" x14ac:dyDescent="0.25">
      <c r="J30" s="4"/>
    </row>
  </sheetData>
  <mergeCells count="2">
    <mergeCell ref="L23:M23"/>
    <mergeCell ref="L22:M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abSelected="1" workbookViewId="0">
      <selection activeCell="E14" sqref="E14"/>
    </sheetView>
  </sheetViews>
  <sheetFormatPr defaultColWidth="9.140625" defaultRowHeight="15" x14ac:dyDescent="0.25"/>
  <cols>
    <col min="1" max="1" width="6.42578125" style="1" bestFit="1" customWidth="1"/>
    <col min="2" max="2" width="8.140625" style="1" customWidth="1"/>
    <col min="3" max="3" width="6.7109375" style="1" bestFit="1" customWidth="1"/>
    <col min="4" max="4" width="6.7109375" style="1" customWidth="1"/>
    <col min="5" max="5" width="16.7109375" style="1" customWidth="1"/>
    <col min="6" max="7" width="15" style="1" hidden="1" customWidth="1"/>
    <col min="8" max="8" width="12.5703125" style="1" customWidth="1"/>
    <col min="9" max="12" width="9.140625" style="1" customWidth="1"/>
    <col min="13" max="13" width="9.28515625" style="1" customWidth="1"/>
    <col min="14" max="14" width="11.5703125" style="1" customWidth="1"/>
    <col min="15" max="15" width="9.140625" style="1" customWidth="1"/>
    <col min="16" max="16384" width="9.140625" style="1"/>
  </cols>
  <sheetData>
    <row r="1" spans="1:14" ht="57" customHeight="1" x14ac:dyDescent="0.25">
      <c r="A1" s="9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9" t="s">
        <v>11</v>
      </c>
      <c r="G1" s="9" t="s">
        <v>12</v>
      </c>
      <c r="H1" s="9" t="s">
        <v>91</v>
      </c>
      <c r="I1" s="9" t="s">
        <v>92</v>
      </c>
      <c r="J1" s="9" t="s">
        <v>93</v>
      </c>
      <c r="K1" s="9" t="s">
        <v>15</v>
      </c>
      <c r="L1" s="9" t="s">
        <v>16</v>
      </c>
      <c r="M1" s="9" t="s">
        <v>114</v>
      </c>
      <c r="N1" s="9" t="s">
        <v>94</v>
      </c>
    </row>
    <row r="2" spans="1:14" x14ac:dyDescent="0.25">
      <c r="A2" s="1" t="s">
        <v>95</v>
      </c>
      <c r="B2" s="4">
        <v>0.5</v>
      </c>
      <c r="C2" s="1">
        <v>110</v>
      </c>
      <c r="D2" s="1" t="s">
        <v>36</v>
      </c>
      <c r="E2" s="4" t="s">
        <v>116</v>
      </c>
      <c r="F2" s="1">
        <v>12.569800000000001</v>
      </c>
      <c r="G2" s="1">
        <v>7.4934000000000003</v>
      </c>
      <c r="H2" s="1">
        <f t="shared" ref="H2:H11" si="0">F2+G2</f>
        <v>20.063200000000002</v>
      </c>
      <c r="I2" s="1">
        <v>1.3466</v>
      </c>
      <c r="J2" s="1" t="s">
        <v>29</v>
      </c>
      <c r="K2" s="1">
        <v>120</v>
      </c>
      <c r="L2" s="1">
        <v>2.1429999999999998</v>
      </c>
      <c r="M2" s="6">
        <f>(L2*0.001/41.988)/(K2*0.000001)</f>
        <v>0.42531993267917817</v>
      </c>
      <c r="N2" s="1" t="s">
        <v>29</v>
      </c>
    </row>
    <row r="3" spans="1:14" x14ac:dyDescent="0.25">
      <c r="A3" s="1" t="s">
        <v>96</v>
      </c>
      <c r="B3" s="6">
        <f>1/24</f>
        <v>4.1666666666666664E-2</v>
      </c>
      <c r="C3" s="1">
        <v>600</v>
      </c>
      <c r="D3" s="1">
        <v>0.2</v>
      </c>
      <c r="E3" s="4" t="s">
        <v>116</v>
      </c>
      <c r="F3" s="1">
        <v>12.023199999999999</v>
      </c>
      <c r="G3" s="1">
        <v>11.176600000000001</v>
      </c>
      <c r="H3" s="1">
        <f t="shared" si="0"/>
        <v>23.1998</v>
      </c>
      <c r="I3" s="1">
        <v>1.2353000000000001</v>
      </c>
      <c r="J3" s="1">
        <v>0.87119999999999997</v>
      </c>
      <c r="K3" s="1">
        <v>120</v>
      </c>
      <c r="L3" s="1">
        <v>2.1360000000000001</v>
      </c>
      <c r="M3" s="6">
        <f>(L3*0.001/41.988)/(K3*0.000001)</f>
        <v>0.42393064685148146</v>
      </c>
      <c r="N3" s="1">
        <v>2.7801</v>
      </c>
    </row>
    <row r="4" spans="1:14" x14ac:dyDescent="0.25">
      <c r="A4" s="1" t="s">
        <v>97</v>
      </c>
      <c r="B4" s="1">
        <v>0.33</v>
      </c>
      <c r="C4" s="1">
        <v>600</v>
      </c>
      <c r="D4" s="1">
        <v>0.2</v>
      </c>
      <c r="E4" s="4" t="s">
        <v>116</v>
      </c>
      <c r="F4" s="1">
        <v>8.9417000000000009</v>
      </c>
      <c r="G4" s="1">
        <v>17.922000000000001</v>
      </c>
      <c r="H4" s="1">
        <f t="shared" si="0"/>
        <v>26.863700000000001</v>
      </c>
      <c r="I4" s="1">
        <v>1.1738999999999999</v>
      </c>
      <c r="J4" s="1">
        <v>0.87119999999999997</v>
      </c>
      <c r="K4" s="1">
        <v>120</v>
      </c>
      <c r="L4" s="1">
        <v>2.1667000000000001</v>
      </c>
      <c r="M4" s="6">
        <f>(L4*0.001/41.988)/(K4*0.000001)</f>
        <v>0.43002365755295169</v>
      </c>
      <c r="N4" s="1">
        <v>0.21940000000000001</v>
      </c>
    </row>
    <row r="5" spans="1:14" x14ac:dyDescent="0.25">
      <c r="A5" s="1" t="s">
        <v>98</v>
      </c>
      <c r="B5" s="1">
        <v>7</v>
      </c>
      <c r="C5" s="1">
        <v>750</v>
      </c>
      <c r="D5" s="1">
        <v>0.2</v>
      </c>
      <c r="E5" s="4" t="s">
        <v>99</v>
      </c>
      <c r="F5" s="1">
        <v>9.4474</v>
      </c>
      <c r="G5" s="1">
        <v>10.553000000000001</v>
      </c>
      <c r="H5" s="1">
        <f t="shared" si="0"/>
        <v>20.000399999999999</v>
      </c>
      <c r="I5" s="1">
        <f>115.9289-114.8693</f>
        <v>1.0596000000000032</v>
      </c>
      <c r="J5" s="1">
        <v>1.488</v>
      </c>
      <c r="K5" s="1">
        <v>120</v>
      </c>
      <c r="L5" s="1" t="s">
        <v>29</v>
      </c>
      <c r="M5" s="1" t="s">
        <v>29</v>
      </c>
      <c r="N5" s="1">
        <v>1.3022</v>
      </c>
    </row>
    <row r="6" spans="1:14" x14ac:dyDescent="0.25">
      <c r="A6" s="1" t="s">
        <v>100</v>
      </c>
      <c r="B6" s="1">
        <v>14</v>
      </c>
      <c r="C6" s="1">
        <v>750</v>
      </c>
      <c r="D6" s="1">
        <v>0.2</v>
      </c>
      <c r="E6" s="4" t="s">
        <v>99</v>
      </c>
      <c r="F6" s="1">
        <v>13.519500000000001</v>
      </c>
      <c r="G6" s="1">
        <v>9.8030000000000008</v>
      </c>
      <c r="H6" s="1">
        <f t="shared" si="0"/>
        <v>23.322500000000002</v>
      </c>
      <c r="I6" s="1">
        <f>174.3108-173.1998</f>
        <v>1.11099999999999</v>
      </c>
      <c r="J6">
        <f>K6*0.000001*12400</f>
        <v>1.4879999999999998</v>
      </c>
      <c r="K6" s="1">
        <v>120</v>
      </c>
      <c r="L6" s="1" t="s">
        <v>29</v>
      </c>
      <c r="M6" s="1" t="s">
        <v>29</v>
      </c>
      <c r="N6" s="1" t="s">
        <v>29</v>
      </c>
    </row>
    <row r="7" spans="1:14" x14ac:dyDescent="0.25">
      <c r="A7" s="1" t="s">
        <v>101</v>
      </c>
      <c r="B7" s="1">
        <v>21</v>
      </c>
      <c r="C7" s="1">
        <v>750</v>
      </c>
      <c r="D7" s="1">
        <v>0.2</v>
      </c>
      <c r="E7" s="4" t="s">
        <v>99</v>
      </c>
      <c r="F7" s="1">
        <v>7.8865999999999996</v>
      </c>
      <c r="G7" s="1">
        <v>5.0461</v>
      </c>
      <c r="H7" s="1">
        <f t="shared" si="0"/>
        <v>12.932700000000001</v>
      </c>
      <c r="I7" s="1">
        <f>141.3287-140.1758</f>
        <v>1.1528999999999883</v>
      </c>
      <c r="J7" s="1">
        <v>1.488</v>
      </c>
      <c r="K7" s="1">
        <v>120</v>
      </c>
      <c r="L7" s="1" t="s">
        <v>29</v>
      </c>
      <c r="M7" s="1" t="s">
        <v>29</v>
      </c>
      <c r="N7" s="1">
        <v>0.72870000000000001</v>
      </c>
    </row>
    <row r="8" spans="1:14" x14ac:dyDescent="0.25">
      <c r="A8" s="1" t="s">
        <v>102</v>
      </c>
      <c r="B8" s="1">
        <v>0.5</v>
      </c>
      <c r="C8" s="1">
        <v>110</v>
      </c>
      <c r="D8" s="1" t="s">
        <v>36</v>
      </c>
      <c r="E8" s="4" t="s">
        <v>99</v>
      </c>
      <c r="F8" s="1">
        <v>10.9602</v>
      </c>
      <c r="G8" s="1">
        <v>7.5221</v>
      </c>
      <c r="H8" s="1">
        <f t="shared" si="0"/>
        <v>18.482300000000002</v>
      </c>
      <c r="I8" s="1">
        <f>144.8788-143.8307</f>
        <v>1.0481000000000051</v>
      </c>
      <c r="J8" s="1" t="s">
        <v>29</v>
      </c>
      <c r="K8" s="1">
        <v>120</v>
      </c>
      <c r="L8" s="1" t="s">
        <v>29</v>
      </c>
      <c r="M8" s="1" t="s">
        <v>29</v>
      </c>
      <c r="N8" s="1" t="s">
        <v>29</v>
      </c>
    </row>
    <row r="9" spans="1:14" x14ac:dyDescent="0.25">
      <c r="A9" s="1" t="s">
        <v>103</v>
      </c>
      <c r="B9" s="1">
        <v>3</v>
      </c>
      <c r="C9" s="1">
        <v>800</v>
      </c>
      <c r="D9" s="1">
        <v>0.2</v>
      </c>
      <c r="E9" s="4" t="s">
        <v>116</v>
      </c>
      <c r="F9" s="1">
        <v>11.3362</v>
      </c>
      <c r="G9" s="1">
        <v>6.5960000000000001</v>
      </c>
      <c r="H9" s="1">
        <f t="shared" si="0"/>
        <v>17.932200000000002</v>
      </c>
      <c r="I9" s="1">
        <v>1.768</v>
      </c>
      <c r="J9" s="1">
        <v>1.7136</v>
      </c>
      <c r="K9" s="1">
        <v>120</v>
      </c>
      <c r="L9" s="1">
        <v>4.4800000000000004</v>
      </c>
      <c r="M9" s="6">
        <f>(L9*0.001/41.988)/(K9*0.000001)</f>
        <v>0.88914292972595355</v>
      </c>
      <c r="N9" s="1">
        <v>0.2021</v>
      </c>
    </row>
    <row r="10" spans="1:14" x14ac:dyDescent="0.25">
      <c r="A10" s="1" t="s">
        <v>104</v>
      </c>
      <c r="B10" s="1">
        <v>19</v>
      </c>
      <c r="C10" s="1">
        <v>800</v>
      </c>
      <c r="D10" s="1">
        <v>0.2</v>
      </c>
      <c r="E10" s="4" t="s">
        <v>116</v>
      </c>
      <c r="F10" s="1">
        <v>17.8169</v>
      </c>
      <c r="G10" s="1">
        <v>16.972100000000001</v>
      </c>
      <c r="H10" s="1">
        <f t="shared" si="0"/>
        <v>34.789000000000001</v>
      </c>
      <c r="I10" s="1">
        <v>1.6950000000000001</v>
      </c>
      <c r="J10" s="1">
        <v>1.7136</v>
      </c>
      <c r="K10" s="1">
        <v>120</v>
      </c>
      <c r="L10" s="1">
        <v>5.1722999999999999</v>
      </c>
      <c r="M10" s="6">
        <f>(L10*0.001/41.988)/(K10*0.000001)</f>
        <v>1.0265432980851674</v>
      </c>
      <c r="N10" s="1">
        <v>0.53779999999999994</v>
      </c>
    </row>
    <row r="11" spans="1:14" x14ac:dyDescent="0.25">
      <c r="A11" s="1" t="s">
        <v>105</v>
      </c>
      <c r="B11" s="1">
        <v>7</v>
      </c>
      <c r="C11" s="1">
        <v>800</v>
      </c>
      <c r="D11" s="1">
        <v>0.2</v>
      </c>
      <c r="E11" s="4" t="s">
        <v>116</v>
      </c>
      <c r="F11" s="1">
        <v>21.060600000000001</v>
      </c>
      <c r="G11" s="1">
        <v>6.1132999999999997</v>
      </c>
      <c r="H11" s="1">
        <f t="shared" si="0"/>
        <v>27.1739</v>
      </c>
      <c r="I11" s="1">
        <v>2.073</v>
      </c>
      <c r="J11" s="1">
        <v>1.7136</v>
      </c>
      <c r="K11" s="1">
        <v>120</v>
      </c>
      <c r="L11" s="1">
        <v>5.0224000000000002</v>
      </c>
      <c r="M11" s="6">
        <f>(L11*0.001/41.988)/(K11*0.000001)</f>
        <v>0.99679273443206018</v>
      </c>
      <c r="N11" s="1">
        <v>0.78979999999999995</v>
      </c>
    </row>
    <row r="12" spans="1:14" ht="30" x14ac:dyDescent="0.25">
      <c r="A12" s="1" t="s">
        <v>106</v>
      </c>
      <c r="B12" s="1">
        <v>1</v>
      </c>
      <c r="C12" s="1">
        <v>600</v>
      </c>
      <c r="D12" s="1">
        <v>0.2</v>
      </c>
      <c r="E12" s="4" t="s">
        <v>107</v>
      </c>
      <c r="F12" s="12" t="s">
        <v>29</v>
      </c>
      <c r="G12" s="12"/>
      <c r="H12" s="1">
        <f>178.676-152.1043</f>
        <v>26.571699999999993</v>
      </c>
      <c r="I12" s="1">
        <f>152.1043-150.8015</f>
        <v>1.3027999999999906</v>
      </c>
      <c r="J12" s="1">
        <v>0.87119999999999997</v>
      </c>
      <c r="K12" s="1">
        <v>120</v>
      </c>
      <c r="L12" s="1" t="s">
        <v>29</v>
      </c>
      <c r="M12" s="1" t="s">
        <v>29</v>
      </c>
      <c r="N12" s="1" t="s">
        <v>29</v>
      </c>
    </row>
    <row r="13" spans="1:14" ht="30" customHeight="1" x14ac:dyDescent="0.25">
      <c r="A13" s="1" t="s">
        <v>108</v>
      </c>
      <c r="B13" s="1">
        <v>1</v>
      </c>
      <c r="C13" s="1">
        <v>600</v>
      </c>
      <c r="D13" s="1">
        <v>0.2</v>
      </c>
      <c r="E13" s="4" t="s">
        <v>117</v>
      </c>
      <c r="F13" s="12" t="s">
        <v>29</v>
      </c>
      <c r="G13" s="12"/>
      <c r="H13" s="1">
        <f>172.4678-146.2798</f>
        <v>26.188000000000017</v>
      </c>
      <c r="I13" s="1">
        <f>146.2798-144.7605</f>
        <v>1.519299999999987</v>
      </c>
      <c r="J13">
        <f>K13*0.000001*'Experimental Log'!G20</f>
        <v>0.87983999999999996</v>
      </c>
      <c r="K13" s="1">
        <v>120</v>
      </c>
      <c r="L13" s="1">
        <f>1700.128-1694.7214</f>
        <v>5.4066000000000258</v>
      </c>
      <c r="M13" s="6">
        <f>(L13*0.001/41.988)/(K13*0.000001)</f>
        <v>1.0730446794322239</v>
      </c>
      <c r="N13" s="1" t="s">
        <v>29</v>
      </c>
    </row>
    <row r="14" spans="1:14" ht="30" customHeight="1" x14ac:dyDescent="0.25">
      <c r="A14" s="1" t="s">
        <v>109</v>
      </c>
      <c r="B14" s="1">
        <v>1</v>
      </c>
      <c r="C14" s="1">
        <v>600</v>
      </c>
      <c r="D14" s="1">
        <v>0.2</v>
      </c>
      <c r="E14" s="4" t="s">
        <v>115</v>
      </c>
      <c r="F14" s="12" t="s">
        <v>29</v>
      </c>
      <c r="G14" s="12"/>
      <c r="H14" s="1">
        <f>144.6602-125.8417</f>
        <v>18.8185</v>
      </c>
      <c r="I14" s="1">
        <f>125.8417-124.2025</f>
        <v>1.6392000000000024</v>
      </c>
      <c r="J14">
        <f>K14*0.000001*'Experimental Log'!G21</f>
        <v>0.7710999999999999</v>
      </c>
      <c r="K14" s="1">
        <v>110</v>
      </c>
      <c r="L14" s="1" t="s">
        <v>29</v>
      </c>
      <c r="M14" s="1" t="s">
        <v>29</v>
      </c>
      <c r="N14" s="1" t="s">
        <v>29</v>
      </c>
    </row>
    <row r="15" spans="1:14" x14ac:dyDescent="0.25">
      <c r="A15" s="1" t="s">
        <v>110</v>
      </c>
      <c r="B15" s="1">
        <v>3</v>
      </c>
      <c r="C15" s="1">
        <v>800</v>
      </c>
      <c r="D15" s="1">
        <v>0.1</v>
      </c>
      <c r="E15" s="4" t="s">
        <v>111</v>
      </c>
      <c r="F15" s="12" t="s">
        <v>29</v>
      </c>
      <c r="G15" s="12"/>
      <c r="H15" s="1">
        <v>12.968799999999987</v>
      </c>
      <c r="I15" s="1">
        <f>(174.4643-173.1019)+(1735.9271-1733.7685)</f>
        <v>3.521000000000214</v>
      </c>
      <c r="J15">
        <f>K15*0.000001*'Experimental Log'!G22</f>
        <v>1.7399999999999998</v>
      </c>
      <c r="K15" s="1">
        <v>120</v>
      </c>
      <c r="L15" s="1" t="s">
        <v>29</v>
      </c>
      <c r="M15" s="1" t="s">
        <v>29</v>
      </c>
      <c r="N15" s="1" t="s">
        <v>29</v>
      </c>
    </row>
    <row r="16" spans="1:14" x14ac:dyDescent="0.25">
      <c r="A16" s="1" t="s">
        <v>112</v>
      </c>
      <c r="B16" s="1">
        <v>7</v>
      </c>
      <c r="C16" s="1">
        <v>800</v>
      </c>
      <c r="D16" s="1">
        <v>0.1</v>
      </c>
      <c r="E16" s="4" t="s">
        <v>111</v>
      </c>
      <c r="F16" s="12" t="s">
        <v>29</v>
      </c>
      <c r="G16" s="12"/>
      <c r="H16" s="1">
        <v>11.09650000000002</v>
      </c>
      <c r="I16" s="1">
        <f>(175.9563-174.854)+(1727.6003-1726.7132)</f>
        <v>1.9894000000001313</v>
      </c>
      <c r="J16">
        <f>K16*0.000001*'Experimental Log'!G23</f>
        <v>1.7399999999999998</v>
      </c>
      <c r="K16" s="1">
        <v>120</v>
      </c>
      <c r="L16" s="1" t="s">
        <v>29</v>
      </c>
      <c r="M16" s="1" t="s">
        <v>29</v>
      </c>
      <c r="N16" s="1" t="s">
        <v>29</v>
      </c>
    </row>
    <row r="18" spans="1:1" x14ac:dyDescent="0.25">
      <c r="A18" s="8" t="s">
        <v>113</v>
      </c>
    </row>
    <row r="19" spans="1:1" x14ac:dyDescent="0.25">
      <c r="A19"/>
    </row>
  </sheetData>
  <mergeCells count="5">
    <mergeCell ref="F12:G12"/>
    <mergeCell ref="F16:G16"/>
    <mergeCell ref="F15:G15"/>
    <mergeCell ref="F14:G14"/>
    <mergeCell ref="F13:G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Experimental Log</vt:lpstr>
      <vt:lpstr>Clean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Ayers</cp:lastModifiedBy>
  <dcterms:created xsi:type="dcterms:W3CDTF">2023-08-22T17:34:25Z</dcterms:created>
  <dcterms:modified xsi:type="dcterms:W3CDTF">2026-10-05T19:49:53Z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0x0101004E97729A3E6EAA4F9E1C9F13D541663D</vt:lpwstr>
  </property>
  <property fmtid="{D5CDD505-2E9C-101B-9397-08002B2CF9AE}" pid="3" name="MediaServiceImageTags">
    <vt:lpwstr/>
  </property>
</Properties>
</file>