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101" documentId="13_ncr:1_{244B0991-B060-4354-8AB6-4098CA8D143C}" xr6:coauthVersionLast="47" xr6:coauthVersionMax="47" xr10:uidLastSave="{72331906-4653-41E5-B1ED-E44A03593F1D}"/>
  <bookViews>
    <workbookView xWindow="-105" yWindow="0" windowWidth="14610" windowHeight="15585" activeTab="3" xr2:uid="{00000000-000D-0000-FFFF-FFFF00000000}"/>
  </bookViews>
  <sheets>
    <sheet name="percent of replacement" sheetId="1" r:id="rId1"/>
    <sheet name="Summary" sheetId="3" r:id="rId2"/>
    <sheet name="equations" sheetId="2" r:id="rId3"/>
    <sheet name="ID_min 29Si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8" i="1" l="1"/>
  <c r="M69" i="1"/>
  <c r="M70" i="1"/>
  <c r="M71" i="1"/>
  <c r="M72" i="1"/>
  <c r="M73" i="1"/>
  <c r="B9" i="1"/>
  <c r="C9" i="1"/>
  <c r="B10" i="1"/>
  <c r="C10" i="1"/>
  <c r="E9" i="1"/>
  <c r="F9" i="1"/>
  <c r="G9" i="1"/>
  <c r="H9" i="1"/>
  <c r="I9" i="1"/>
  <c r="J9" i="1"/>
  <c r="E10" i="1"/>
  <c r="F10" i="1"/>
  <c r="G10" i="1"/>
  <c r="H10" i="1"/>
  <c r="I10" i="1"/>
  <c r="J10" i="1"/>
  <c r="D10" i="1"/>
  <c r="D9" i="1"/>
  <c r="J18" i="4"/>
  <c r="J19" i="4" s="1"/>
  <c r="I18" i="4"/>
  <c r="I19" i="4" s="1"/>
  <c r="H18" i="4"/>
  <c r="H19" i="4" s="1"/>
  <c r="G18" i="4"/>
  <c r="G19" i="4" s="1"/>
  <c r="F18" i="4"/>
  <c r="F19" i="4" s="1"/>
  <c r="E18" i="4"/>
  <c r="E19" i="4" s="1"/>
  <c r="D18" i="4"/>
  <c r="D19" i="4" s="1"/>
  <c r="C18" i="4"/>
  <c r="C19" i="4" s="1"/>
  <c r="B18" i="4"/>
  <c r="B19" i="4" s="1"/>
  <c r="J16" i="4"/>
  <c r="I16" i="4"/>
  <c r="H16" i="4"/>
  <c r="G16" i="4"/>
  <c r="F16" i="4"/>
  <c r="E16" i="4"/>
  <c r="D16" i="4"/>
  <c r="C16" i="4"/>
  <c r="B16" i="4"/>
  <c r="J13" i="4"/>
  <c r="I13" i="4"/>
  <c r="H13" i="4"/>
  <c r="G13" i="4"/>
  <c r="F13" i="4"/>
  <c r="E13" i="4"/>
  <c r="D13" i="4"/>
  <c r="C13" i="4"/>
  <c r="B13" i="4"/>
  <c r="J8" i="4"/>
  <c r="J24" i="4" s="1"/>
  <c r="J25" i="4" s="1"/>
  <c r="I8" i="4"/>
  <c r="I24" i="4" s="1"/>
  <c r="I25" i="4" s="1"/>
  <c r="H8" i="4"/>
  <c r="H24" i="4" s="1"/>
  <c r="H25" i="4" s="1"/>
  <c r="G8" i="4"/>
  <c r="G24" i="4" s="1"/>
  <c r="G25" i="4" s="1"/>
  <c r="F8" i="4"/>
  <c r="F24" i="4" s="1"/>
  <c r="F25" i="4" s="1"/>
  <c r="E8" i="4"/>
  <c r="D8" i="4"/>
  <c r="D24" i="4" s="1"/>
  <c r="D25" i="4" s="1"/>
  <c r="C8" i="4"/>
  <c r="C24" i="4" s="1"/>
  <c r="C25" i="4" s="1"/>
  <c r="B8" i="4"/>
  <c r="B24" i="4" s="1"/>
  <c r="B25" i="4" s="1"/>
  <c r="B26" i="4" s="1"/>
  <c r="D36" i="1"/>
  <c r="E36" i="1"/>
  <c r="F36" i="1"/>
  <c r="G36" i="1"/>
  <c r="H36" i="1"/>
  <c r="I36" i="1"/>
  <c r="J36" i="1"/>
  <c r="C36" i="1"/>
  <c r="J26" i="4" l="1"/>
  <c r="I26" i="4"/>
  <c r="H26" i="4"/>
  <c r="G26" i="4"/>
  <c r="F26" i="4"/>
  <c r="L36" i="4"/>
  <c r="M36" i="4" s="1"/>
  <c r="L23" i="4"/>
  <c r="N22" i="4"/>
  <c r="O22" i="4" s="1"/>
  <c r="L22" i="4"/>
  <c r="N21" i="4"/>
  <c r="O21" i="4" s="1"/>
  <c r="L21" i="4"/>
  <c r="N20" i="4"/>
  <c r="O20" i="4" s="1"/>
  <c r="L20" i="4"/>
  <c r="N19" i="4"/>
  <c r="O19" i="4" s="1"/>
  <c r="L19" i="4"/>
  <c r="L11" i="4"/>
  <c r="N18" i="4"/>
  <c r="O18" i="4" s="1"/>
  <c r="L18" i="4"/>
  <c r="N73" i="4"/>
  <c r="L50" i="4"/>
  <c r="M50" i="4" s="1"/>
  <c r="N48" i="4"/>
  <c r="L48" i="4"/>
  <c r="M48" i="4" s="1"/>
  <c r="L46" i="4"/>
  <c r="M46" i="4" s="1"/>
  <c r="N42" i="4"/>
  <c r="L42" i="4"/>
  <c r="M42" i="4" s="1"/>
  <c r="N40" i="4"/>
  <c r="L38" i="4"/>
  <c r="M38" i="4" s="1"/>
  <c r="N33" i="4"/>
  <c r="L33" i="4"/>
  <c r="M33" i="4" s="1"/>
  <c r="N32" i="4"/>
  <c r="L32" i="4"/>
  <c r="M32" i="4" s="1"/>
  <c r="L31" i="4"/>
  <c r="M31" i="4" s="1"/>
  <c r="N28" i="4"/>
  <c r="L28" i="4"/>
  <c r="M28" i="4" s="1"/>
  <c r="N26" i="4"/>
  <c r="L26" i="4"/>
  <c r="M26" i="4" s="1"/>
  <c r="N17" i="4"/>
  <c r="O17" i="4" s="1"/>
  <c r="N14" i="4"/>
  <c r="O14" i="4" s="1"/>
  <c r="N12" i="4"/>
  <c r="O12" i="4" s="1"/>
  <c r="N10" i="4"/>
  <c r="O10" i="4" s="1"/>
  <c r="L9" i="4"/>
  <c r="L8" i="4"/>
  <c r="L72" i="4"/>
  <c r="L69" i="4"/>
  <c r="N60" i="4"/>
  <c r="N59" i="4"/>
  <c r="L59" i="4"/>
  <c r="M59" i="4" s="1"/>
  <c r="L57" i="4"/>
  <c r="M57" i="4" s="1"/>
  <c r="N56" i="4"/>
  <c r="N55" i="4"/>
  <c r="N54" i="4"/>
  <c r="L54" i="4"/>
  <c r="M54" i="4" s="1"/>
  <c r="N52" i="4"/>
  <c r="N51" i="4"/>
  <c r="L51" i="4"/>
  <c r="M51" i="4" s="1"/>
  <c r="L47" i="4"/>
  <c r="M47" i="4" s="1"/>
  <c r="N44" i="4"/>
  <c r="N43" i="4"/>
  <c r="L43" i="4"/>
  <c r="M43" i="4" s="1"/>
  <c r="N41" i="4"/>
  <c r="L41" i="4"/>
  <c r="M41" i="4" s="1"/>
  <c r="L40" i="4"/>
  <c r="M40" i="4" s="1"/>
  <c r="L13" i="4"/>
  <c r="N11" i="4"/>
  <c r="O11" i="4" s="1"/>
  <c r="L10" i="4"/>
  <c r="N9" i="4"/>
  <c r="O9" i="4" s="1"/>
  <c r="L17" i="4"/>
  <c r="L15" i="4"/>
  <c r="L14" i="4"/>
  <c r="N13" i="4"/>
  <c r="O13" i="4" s="1"/>
  <c r="L71" i="4"/>
  <c r="N69" i="4"/>
  <c r="N67" i="4"/>
  <c r="L60" i="4"/>
  <c r="M60" i="4" s="1"/>
  <c r="L52" i="4"/>
  <c r="M52" i="4" s="1"/>
  <c r="N50" i="4"/>
  <c r="N37" i="4"/>
  <c r="N27" i="4"/>
  <c r="N24" i="4"/>
  <c r="O24" i="4" s="1"/>
  <c r="L24" i="4"/>
  <c r="L73" i="4"/>
  <c r="L70" i="4"/>
  <c r="N66" i="4"/>
  <c r="N64" i="4"/>
  <c r="L64" i="4"/>
  <c r="M64" i="4" s="1"/>
  <c r="N63" i="4"/>
  <c r="N57" i="4"/>
  <c r="L56" i="4"/>
  <c r="M56" i="4" s="1"/>
  <c r="L55" i="4"/>
  <c r="M55" i="4" s="1"/>
  <c r="N53" i="4"/>
  <c r="N49" i="4"/>
  <c r="N47" i="4"/>
  <c r="N45" i="4"/>
  <c r="N35" i="4"/>
  <c r="L35" i="4"/>
  <c r="M35" i="4" s="1"/>
  <c r="N34" i="4"/>
  <c r="L34" i="4"/>
  <c r="M34" i="4" s="1"/>
  <c r="L12" i="4"/>
  <c r="N65" i="4"/>
  <c r="L53" i="4"/>
  <c r="M53" i="4" s="1"/>
  <c r="L49" i="4"/>
  <c r="M49" i="4" s="1"/>
  <c r="L45" i="4"/>
  <c r="M45" i="4" s="1"/>
  <c r="N38" i="4"/>
  <c r="L16" i="4"/>
  <c r="N8" i="4"/>
  <c r="O8" i="4" s="1"/>
  <c r="L44" i="4"/>
  <c r="M44" i="4" s="1"/>
  <c r="N31" i="4"/>
  <c r="N30" i="4"/>
  <c r="L30" i="4"/>
  <c r="M30" i="4" s="1"/>
  <c r="N29" i="4"/>
  <c r="L29" i="4"/>
  <c r="M29" i="4" s="1"/>
  <c r="L27" i="4"/>
  <c r="M27" i="4" s="1"/>
  <c r="N25" i="4"/>
  <c r="O25" i="4" s="1"/>
  <c r="L25" i="4"/>
  <c r="M25" i="4" s="1"/>
  <c r="L37" i="4"/>
  <c r="M37" i="4" s="1"/>
  <c r="N36" i="4"/>
  <c r="E24" i="4"/>
  <c r="E25" i="4" s="1"/>
  <c r="N23" i="4"/>
  <c r="O23" i="4" s="1"/>
  <c r="N72" i="4"/>
  <c r="N70" i="4"/>
  <c r="L68" i="4"/>
  <c r="L63" i="4"/>
  <c r="M63" i="4" s="1"/>
  <c r="N61" i="4"/>
  <c r="L61" i="4"/>
  <c r="M61" i="4" s="1"/>
  <c r="N46" i="4"/>
  <c r="N71" i="4"/>
  <c r="N68" i="4"/>
  <c r="L67" i="4"/>
  <c r="M67" i="4" s="1"/>
  <c r="L66" i="4"/>
  <c r="M66" i="4" s="1"/>
  <c r="L65" i="4"/>
  <c r="M65" i="4" s="1"/>
  <c r="N62" i="4"/>
  <c r="L62" i="4"/>
  <c r="M62" i="4" s="1"/>
  <c r="N58" i="4"/>
  <c r="L58" i="4"/>
  <c r="M58" i="4" s="1"/>
  <c r="N16" i="4"/>
  <c r="O16" i="4" s="1"/>
  <c r="N15" i="4"/>
  <c r="O15" i="4" s="1"/>
  <c r="N7" i="4"/>
  <c r="O7" i="4" s="1"/>
  <c r="L7" i="4"/>
  <c r="N6" i="4"/>
  <c r="O6" i="4" s="1"/>
  <c r="L6" i="4"/>
  <c r="N5" i="4"/>
  <c r="O5" i="4" s="1"/>
  <c r="L5" i="4"/>
  <c r="D26" i="4"/>
  <c r="C26" i="4"/>
  <c r="D34" i="1"/>
  <c r="E34" i="1"/>
  <c r="F34" i="1"/>
  <c r="G34" i="1"/>
  <c r="H34" i="1"/>
  <c r="I34" i="1"/>
  <c r="J34" i="1"/>
  <c r="C34" i="1"/>
  <c r="H16" i="1"/>
  <c r="G16" i="1"/>
  <c r="F16" i="1"/>
  <c r="E16" i="1"/>
  <c r="H18" i="1"/>
  <c r="H19" i="1" s="1"/>
  <c r="G18" i="1"/>
  <c r="G19" i="1" s="1"/>
  <c r="F18" i="1"/>
  <c r="F19" i="1" s="1"/>
  <c r="J16" i="1"/>
  <c r="I16" i="1"/>
  <c r="H13" i="1"/>
  <c r="E13" i="1"/>
  <c r="J18" i="1"/>
  <c r="J19" i="1" s="1"/>
  <c r="I18" i="1"/>
  <c r="I19" i="1" s="1"/>
  <c r="I13" i="1"/>
  <c r="J13" i="1"/>
  <c r="I8" i="1"/>
  <c r="J8" i="1"/>
  <c r="J24" i="1" s="1"/>
  <c r="H8" i="1"/>
  <c r="B8" i="1"/>
  <c r="D16" i="1"/>
  <c r="G13" i="1"/>
  <c r="F13" i="1"/>
  <c r="G8" i="1"/>
  <c r="F8" i="1"/>
  <c r="C16" i="1"/>
  <c r="B13" i="1"/>
  <c r="C13" i="1"/>
  <c r="B18" i="1"/>
  <c r="B19" i="1" s="1"/>
  <c r="E18" i="1"/>
  <c r="E19" i="1" s="1"/>
  <c r="D18" i="1"/>
  <c r="D19" i="1" s="1"/>
  <c r="C18" i="1"/>
  <c r="C19" i="1" s="1"/>
  <c r="D13" i="1"/>
  <c r="D8" i="1"/>
  <c r="E8" i="1"/>
  <c r="B16" i="1"/>
  <c r="C8" i="1"/>
  <c r="E26" i="4" l="1"/>
  <c r="E24" i="1"/>
  <c r="E25" i="1" s="1"/>
  <c r="H24" i="1"/>
  <c r="H25" i="1" s="1"/>
  <c r="H35" i="1" s="1"/>
  <c r="H37" i="1" s="1"/>
  <c r="J25" i="1"/>
  <c r="I24" i="1"/>
  <c r="I25" i="1" s="1"/>
  <c r="F24" i="1"/>
  <c r="F25" i="1" s="1"/>
  <c r="G24" i="1"/>
  <c r="G25" i="1" s="1"/>
  <c r="N23" i="1"/>
  <c r="O23" i="1" s="1"/>
  <c r="N56" i="1"/>
  <c r="N24" i="1"/>
  <c r="O24" i="1" s="1"/>
  <c r="N25" i="1"/>
  <c r="O25" i="1" s="1"/>
  <c r="N58" i="1"/>
  <c r="N57" i="1"/>
  <c r="N6" i="1"/>
  <c r="O6" i="1" s="1"/>
  <c r="N38" i="1"/>
  <c r="N71" i="1"/>
  <c r="N40" i="1"/>
  <c r="N72" i="1"/>
  <c r="N14" i="1"/>
  <c r="O14" i="1" s="1"/>
  <c r="N47" i="1"/>
  <c r="N19" i="1"/>
  <c r="O19" i="1" s="1"/>
  <c r="N22" i="1"/>
  <c r="O22" i="1" s="1"/>
  <c r="N28" i="1"/>
  <c r="N63" i="1"/>
  <c r="N64" i="1"/>
  <c r="N34" i="1"/>
  <c r="N36" i="1"/>
  <c r="N7" i="1"/>
  <c r="O7" i="1" s="1"/>
  <c r="N8" i="1"/>
  <c r="O8" i="1" s="1"/>
  <c r="N41" i="1"/>
  <c r="N73" i="1"/>
  <c r="N42" i="1"/>
  <c r="N5" i="1"/>
  <c r="O5" i="1" s="1"/>
  <c r="N18" i="1"/>
  <c r="O18" i="1" s="1"/>
  <c r="N21" i="1"/>
  <c r="O21" i="1" s="1"/>
  <c r="N59" i="1"/>
  <c r="N27" i="1"/>
  <c r="N30" i="1"/>
  <c r="N66" i="1"/>
  <c r="N67" i="1"/>
  <c r="N68" i="1"/>
  <c r="N69" i="1"/>
  <c r="N9" i="1"/>
  <c r="O9" i="1" s="1"/>
  <c r="N49" i="1"/>
  <c r="N20" i="1"/>
  <c r="O20" i="1" s="1"/>
  <c r="N26" i="1"/>
  <c r="N60" i="1"/>
  <c r="N62" i="1"/>
  <c r="N32" i="1"/>
  <c r="N10" i="1"/>
  <c r="O10" i="1" s="1"/>
  <c r="N43" i="1"/>
  <c r="N44" i="1"/>
  <c r="N45" i="1"/>
  <c r="N48" i="1"/>
  <c r="N50" i="1"/>
  <c r="N51" i="1"/>
  <c r="N52" i="1"/>
  <c r="N53" i="1"/>
  <c r="N54" i="1"/>
  <c r="N31" i="1"/>
  <c r="N33" i="1"/>
  <c r="N37" i="1"/>
  <c r="N11" i="1"/>
  <c r="O11" i="1" s="1"/>
  <c r="N12" i="1"/>
  <c r="O12" i="1" s="1"/>
  <c r="N13" i="1"/>
  <c r="O13" i="1" s="1"/>
  <c r="N46" i="1"/>
  <c r="N17" i="1"/>
  <c r="O17" i="1" s="1"/>
  <c r="N55" i="1"/>
  <c r="N61" i="1"/>
  <c r="N29" i="1"/>
  <c r="N65" i="1"/>
  <c r="N35" i="1"/>
  <c r="N70" i="1"/>
  <c r="N15" i="1"/>
  <c r="O15" i="1" s="1"/>
  <c r="N16" i="1"/>
  <c r="O16" i="1" s="1"/>
  <c r="D24" i="1"/>
  <c r="D25" i="1" s="1"/>
  <c r="B24" i="1"/>
  <c r="B25" i="1" s="1"/>
  <c r="B26" i="1" s="1"/>
  <c r="L35" i="1"/>
  <c r="L68" i="1"/>
  <c r="L36" i="1"/>
  <c r="M36" i="1" s="1"/>
  <c r="L69" i="1"/>
  <c r="L37" i="1"/>
  <c r="L70" i="1"/>
  <c r="L6" i="1"/>
  <c r="L38" i="1"/>
  <c r="M38" i="1" s="1"/>
  <c r="L71" i="1"/>
  <c r="L7" i="1"/>
  <c r="L40" i="1"/>
  <c r="L72" i="1"/>
  <c r="L8" i="1"/>
  <c r="L41" i="1"/>
  <c r="L73" i="1"/>
  <c r="L9" i="1"/>
  <c r="L42" i="1"/>
  <c r="M42" i="1" s="1"/>
  <c r="L5" i="1"/>
  <c r="L10" i="1"/>
  <c r="L43" i="1"/>
  <c r="L11" i="1"/>
  <c r="L44" i="1"/>
  <c r="L12" i="1"/>
  <c r="L45" i="1"/>
  <c r="L13" i="1"/>
  <c r="L46" i="1"/>
  <c r="L14" i="1"/>
  <c r="L47" i="1"/>
  <c r="L15" i="1"/>
  <c r="L48" i="1"/>
  <c r="L16" i="1"/>
  <c r="L49" i="1"/>
  <c r="M49" i="1" s="1"/>
  <c r="L17" i="1"/>
  <c r="L50" i="1"/>
  <c r="M50" i="1" s="1"/>
  <c r="L18" i="1"/>
  <c r="L51" i="1"/>
  <c r="M51" i="1" s="1"/>
  <c r="L20" i="1"/>
  <c r="L21" i="1"/>
  <c r="L22" i="1"/>
  <c r="L23" i="1"/>
  <c r="L24" i="1"/>
  <c r="L26" i="1"/>
  <c r="L27" i="1"/>
  <c r="L32" i="1"/>
  <c r="L52" i="1"/>
  <c r="L53" i="1"/>
  <c r="M53" i="1" s="1"/>
  <c r="L54" i="1"/>
  <c r="L58" i="1"/>
  <c r="L61" i="1"/>
  <c r="L64" i="1"/>
  <c r="M64" i="1" s="1"/>
  <c r="L65" i="1"/>
  <c r="L66" i="1"/>
  <c r="L67" i="1"/>
  <c r="L28" i="1"/>
  <c r="L29" i="1"/>
  <c r="L34" i="1"/>
  <c r="L57" i="1"/>
  <c r="L60" i="1"/>
  <c r="L19" i="1"/>
  <c r="L25" i="1"/>
  <c r="L30" i="1"/>
  <c r="L31" i="1"/>
  <c r="L33" i="1"/>
  <c r="L55" i="1"/>
  <c r="M55" i="1" s="1"/>
  <c r="L56" i="1"/>
  <c r="M56" i="1" s="1"/>
  <c r="L59" i="1"/>
  <c r="L62" i="1"/>
  <c r="M62" i="1" s="1"/>
  <c r="L63" i="1"/>
  <c r="C24" i="1"/>
  <c r="C25" i="1" s="1"/>
  <c r="M63" i="1"/>
  <c r="E35" i="1" l="1"/>
  <c r="E37" i="1" s="1"/>
  <c r="E26" i="1"/>
  <c r="H26" i="1"/>
  <c r="G26" i="1"/>
  <c r="G35" i="1"/>
  <c r="G37" i="1" s="1"/>
  <c r="F35" i="1"/>
  <c r="F37" i="1" s="1"/>
  <c r="F26" i="1"/>
  <c r="I26" i="1"/>
  <c r="I35" i="1"/>
  <c r="I37" i="1" s="1"/>
  <c r="D26" i="1"/>
  <c r="D35" i="1"/>
  <c r="D37" i="1" s="1"/>
  <c r="J26" i="1"/>
  <c r="J35" i="1"/>
  <c r="J37" i="1" s="1"/>
  <c r="C26" i="1"/>
  <c r="C35" i="1"/>
  <c r="C37" i="1" s="1"/>
  <c r="M45" i="1"/>
  <c r="M67" i="1"/>
  <c r="M28" i="1"/>
  <c r="M47" i="1"/>
  <c r="M60" i="1"/>
  <c r="M44" i="1"/>
  <c r="M43" i="1"/>
  <c r="M65" i="1"/>
  <c r="M41" i="1"/>
  <c r="M40" i="1"/>
  <c r="M37" i="1"/>
  <c r="M46" i="1"/>
  <c r="M34" i="1"/>
  <c r="M58" i="1"/>
  <c r="M32" i="1"/>
  <c r="M26" i="1"/>
  <c r="M59" i="1"/>
  <c r="M25" i="1"/>
  <c r="M54" i="1"/>
  <c r="M35" i="1"/>
  <c r="M30" i="1"/>
  <c r="M29" i="1"/>
  <c r="M61" i="1"/>
  <c r="M57" i="1"/>
  <c r="M66" i="1"/>
  <c r="M52" i="1"/>
  <c r="M27" i="1"/>
  <c r="M33" i="1"/>
  <c r="M31" i="1"/>
  <c r="M48" i="1"/>
</calcChain>
</file>

<file path=xl/sharedStrings.xml><?xml version="1.0" encoding="utf-8"?>
<sst xmlns="http://schemas.openxmlformats.org/spreadsheetml/2006/main" count="120" uniqueCount="54">
  <si>
    <t>Zircon 007</t>
  </si>
  <si>
    <t>Zircon 014</t>
  </si>
  <si>
    <t>Zircon 015</t>
  </si>
  <si>
    <t>Zircon 016</t>
  </si>
  <si>
    <t>QS Zircon 014</t>
    <phoneticPr fontId="4" type="noConversion"/>
  </si>
  <si>
    <t>QS Zircon 015</t>
    <phoneticPr fontId="4" type="noConversion"/>
  </si>
  <si>
    <t>QS Zircon 016</t>
    <phoneticPr fontId="4" type="noConversion"/>
  </si>
  <si>
    <t>QS Zircon 017</t>
    <phoneticPr fontId="4" type="noConversion"/>
  </si>
  <si>
    <t>QS Zircon 018</t>
    <phoneticPr fontId="4" type="noConversion"/>
  </si>
  <si>
    <t>Avg. Afg δ18O</t>
  </si>
  <si>
    <t>Avg replacement δ18O</t>
  </si>
  <si>
    <t>Rsoln=Rz=29Si/28Si</t>
  </si>
  <si>
    <t>Forward molecules mz</t>
  </si>
  <si>
    <t>Forward</t>
  </si>
  <si>
    <t>Reverse molecules mz</t>
  </si>
  <si>
    <t>Reverse</t>
  </si>
  <si>
    <t>Avg δ29Si mz</t>
  </si>
  <si>
    <t>Avg replacement δ29Si</t>
  </si>
  <si>
    <t>mSiO2</t>
  </si>
  <si>
    <t>molecules 29SiO2</t>
  </si>
  <si>
    <t>CSi-SiO2</t>
  </si>
  <si>
    <t>CSi-ZrSiO4</t>
  </si>
  <si>
    <t>X29 SiO2</t>
  </si>
  <si>
    <t>X28 SiO2</t>
  </si>
  <si>
    <t>X28 mz</t>
  </si>
  <si>
    <t>X29 mz</t>
  </si>
  <si>
    <t>Rstd</t>
  </si>
  <si>
    <t>Rz</t>
  </si>
  <si>
    <t>M0</t>
  </si>
  <si>
    <t>Xz29</t>
  </si>
  <si>
    <t>Xz28</t>
  </si>
  <si>
    <t>molecules mz</t>
  </si>
  <si>
    <t>weight mz</t>
  </si>
  <si>
    <t>% replacement</t>
  </si>
  <si>
    <t>duration (d) at 800C</t>
  </si>
  <si>
    <t>Method</t>
  </si>
  <si>
    <t>Solids</t>
  </si>
  <si>
    <t>Solutes</t>
  </si>
  <si>
    <t>duration (s)</t>
  </si>
  <si>
    <t>replaced ZrSiO4 (moles)</t>
  </si>
  <si>
    <t>H2O mass (kg)</t>
  </si>
  <si>
    <t>Bulk replacement rate (moles kg H2O-1 s-1)</t>
  </si>
  <si>
    <t>Material</t>
  </si>
  <si>
    <t>AFG</t>
  </si>
  <si>
    <t>Norway</t>
  </si>
  <si>
    <t>&gt; 100</t>
  </si>
  <si>
    <t>Duration (days)</t>
  </si>
  <si>
    <t>Avg AFG δ29Si</t>
  </si>
  <si>
    <t>% replacement from cube</t>
  </si>
  <si>
    <t>Avg solute δ29Si</t>
  </si>
  <si>
    <t>% replacement from QSi</t>
  </si>
  <si>
    <t>reacted zone pixels</t>
  </si>
  <si>
    <t>Total pixels</t>
  </si>
  <si>
    <t>% replacement from image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</si>
</sst>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"/>
    <numFmt numFmtId="165" formatCode="0.0"/>
    <numFmt numFmtId="166" formatCode="0.000"/>
    <numFmt numFmtId="167" formatCode="0.0E+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2"/>
      <color theme="4"/>
      <name val="Times New Roman"/>
      <family val="1"/>
    </font>
    <font>
      <sz val="12"/>
      <name val="Times New Roman"/>
      <family val="1"/>
    </font>
    <font>
      <sz val="9"/>
      <name val="Aptos Narrow"/>
      <family val="3"/>
      <charset val="134"/>
      <scheme val="minor"/>
    </font>
    <font>
      <sz val="10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11" fontId="1" fillId="0" borderId="0" xfId="0" applyNumberFormat="1" applyFont="1"/>
    <xf numFmtId="167" fontId="1" fillId="0" borderId="0" xfId="0" applyNumberFormat="1" applyFont="1"/>
    <xf numFmtId="167" fontId="0" fillId="0" borderId="0" xfId="0" applyNumberFormat="1"/>
    <xf numFmtId="165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9459529442229"/>
          <c:y val="0.16708333333333336"/>
          <c:w val="0.78271655504945292"/>
          <c:h val="0.6332950568678915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'percent of replacement'!$O$4</c:f>
              <c:strCache>
                <c:ptCount val="1"/>
                <c:pt idx="0">
                  <c:v>Reverse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'percent of replacement'!$K$5:$K$25</c:f>
              <c:numCache>
                <c:formatCode>General</c:formatCode>
                <c:ptCount val="2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</c:numCache>
            </c:numRef>
          </c:xVal>
          <c:yVal>
            <c:numRef>
              <c:f>'percent of replacement'!$O$5:$O$25</c:f>
              <c:numCache>
                <c:formatCode>0.00</c:formatCode>
                <c:ptCount val="21"/>
                <c:pt idx="0">
                  <c:v>0.58394396087529044</c:v>
                </c:pt>
                <c:pt idx="1">
                  <c:v>1.177436139097161</c:v>
                </c:pt>
                <c:pt idx="2">
                  <c:v>1.7709829789458644</c:v>
                </c:pt>
                <c:pt idx="3">
                  <c:v>2.364584487973389</c:v>
                </c:pt>
                <c:pt idx="4">
                  <c:v>2.9582406737331164</c:v>
                </c:pt>
                <c:pt idx="5">
                  <c:v>3.5519515437798175</c:v>
                </c:pt>
                <c:pt idx="6">
                  <c:v>4.1457171056696582</c:v>
                </c:pt>
                <c:pt idx="7">
                  <c:v>4.7395373669601932</c:v>
                </c:pt>
                <c:pt idx="8">
                  <c:v>5.3334123352103688</c:v>
                </c:pt>
                <c:pt idx="9">
                  <c:v>5.9273420179805303</c:v>
                </c:pt>
                <c:pt idx="10">
                  <c:v>6.5213264228324119</c:v>
                </c:pt>
                <c:pt idx="11">
                  <c:v>7.1153655573291399</c:v>
                </c:pt>
                <c:pt idx="12">
                  <c:v>7.7094594290352374</c:v>
                </c:pt>
                <c:pt idx="13">
                  <c:v>8.3036080455166204</c:v>
                </c:pt>
                <c:pt idx="14">
                  <c:v>8.8978114143405982</c:v>
                </c:pt>
                <c:pt idx="15">
                  <c:v>9.492069543075873</c:v>
                </c:pt>
                <c:pt idx="16">
                  <c:v>10.086382439292557</c:v>
                </c:pt>
                <c:pt idx="17">
                  <c:v>10.680750110562132</c:v>
                </c:pt>
                <c:pt idx="18">
                  <c:v>11.275172564457499</c:v>
                </c:pt>
                <c:pt idx="19">
                  <c:v>11.869649808552941</c:v>
                </c:pt>
                <c:pt idx="20">
                  <c:v>12.464181850424142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4C-4ED4-BC9F-BB6F7BEA0DAD}"/>
            </c:ext>
          </c:extLst>
        </c:ser>
        <c:ser>
          <c:idx val="0"/>
          <c:order val="1"/>
          <c:tx>
            <c:strRef>
              <c:f>'percent of replacement'!$M$4</c:f>
              <c:strCache>
                <c:ptCount val="1"/>
                <c:pt idx="0">
                  <c:v>Forward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'percent of replacement'!$K$5:$K$74</c:f>
              <c:numCache>
                <c:formatCode>General</c:formatCode>
                <c:ptCount val="7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1.35</c:v>
                </c:pt>
                <c:pt idx="26">
                  <c:v>1.4</c:v>
                </c:pt>
                <c:pt idx="27">
                  <c:v>1.45</c:v>
                </c:pt>
                <c:pt idx="28">
                  <c:v>1.5</c:v>
                </c:pt>
                <c:pt idx="29">
                  <c:v>1.55</c:v>
                </c:pt>
                <c:pt idx="30">
                  <c:v>1.6</c:v>
                </c:pt>
                <c:pt idx="31">
                  <c:v>1.65</c:v>
                </c:pt>
                <c:pt idx="32">
                  <c:v>1.7</c:v>
                </c:pt>
                <c:pt idx="33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100</c:v>
                </c:pt>
                <c:pt idx="68">
                  <c:v>1000</c:v>
                </c:pt>
              </c:numCache>
            </c:numRef>
          </c:xVal>
          <c:yVal>
            <c:numRef>
              <c:f>'percent of replacement'!$M$5:$M$74</c:f>
              <c:numCache>
                <c:formatCode>0.00</c:formatCode>
                <c:ptCount val="70"/>
                <c:pt idx="20">
                  <c:v>12.453959918330044</c:v>
                </c:pt>
                <c:pt idx="21">
                  <c:v>11.886910992451758</c:v>
                </c:pt>
                <c:pt idx="22">
                  <c:v>11.3692049906959</c:v>
                </c:pt>
                <c:pt idx="23">
                  <c:v>10.894669933330382</c:v>
                </c:pt>
                <c:pt idx="24">
                  <c:v>10.458121989728603</c:v>
                </c:pt>
                <c:pt idx="25">
                  <c:v>10.055175332695018</c:v>
                </c:pt>
                <c:pt idx="26">
                  <c:v>9.6820942724369381</c:v>
                </c:pt>
                <c:pt idx="27">
                  <c:v>9.335677094228318</c:v>
                </c:pt>
                <c:pt idx="28">
                  <c:v>9.0131639429261341</c:v>
                </c:pt>
                <c:pt idx="29">
                  <c:v>8.7121631404133542</c:v>
                </c:pt>
                <c:pt idx="30">
                  <c:v>8.430591771545588</c:v>
                </c:pt>
                <c:pt idx="31">
                  <c:v>8.1666274158049958</c:v>
                </c:pt>
                <c:pt idx="32">
                  <c:v>7.9186686592737869</c:v>
                </c:pt>
                <c:pt idx="33">
                  <c:v>7.6853025783634878</c:v>
                </c:pt>
                <c:pt idx="35">
                  <c:v>7.4652778003111457</c:v>
                </c:pt>
                <c:pt idx="36">
                  <c:v>7.2574820555890076</c:v>
                </c:pt>
                <c:pt idx="37">
                  <c:v>7.0609233720386468</c:v>
                </c:pt>
                <c:pt idx="38">
                  <c:v>6.874714239602941</c:v>
                </c:pt>
                <c:pt idx="39">
                  <c:v>6.6980582122529508</c:v>
                </c:pt>
                <c:pt idx="40">
                  <c:v>6.5302385204298261</c:v>
                </c:pt>
                <c:pt idx="41">
                  <c:v>6.3706083506091895</c:v>
                </c:pt>
                <c:pt idx="42">
                  <c:v>6.2185825140283129</c:v>
                </c:pt>
                <c:pt idx="43">
                  <c:v>6.0736302783491416</c:v>
                </c:pt>
                <c:pt idx="44">
                  <c:v>5.9352691771773918</c:v>
                </c:pt>
                <c:pt idx="45">
                  <c:v>5.8030596452726115</c:v>
                </c:pt>
                <c:pt idx="46">
                  <c:v>5.6766003537569283</c:v>
                </c:pt>
                <c:pt idx="47">
                  <c:v>5.5555241410318406</c:v>
                </c:pt>
                <c:pt idx="48">
                  <c:v>5.4394944524999627</c:v>
                </c:pt>
                <c:pt idx="49">
                  <c:v>5.3282022163816301</c:v>
                </c:pt>
                <c:pt idx="50">
                  <c:v>5.2213630945534808</c:v>
                </c:pt>
                <c:pt idx="51">
                  <c:v>5.1187150569192896</c:v>
                </c:pt>
                <c:pt idx="52">
                  <c:v>5.0200162357472236</c:v>
                </c:pt>
                <c:pt idx="53">
                  <c:v>4.9250430229856681</c:v>
                </c:pt>
                <c:pt idx="54">
                  <c:v>4.8335883790510366</c:v>
                </c:pt>
                <c:pt idx="55">
                  <c:v>4.7454603261651584</c:v>
                </c:pt>
                <c:pt idx="56">
                  <c:v>4.660480603166917</c:v>
                </c:pt>
                <c:pt idx="57">
                  <c:v>4.5784834619624366</c:v>
                </c:pt>
                <c:pt idx="58">
                  <c:v>4.4993145885147472</c:v>
                </c:pt>
                <c:pt idx="59">
                  <c:v>4.4228301335931066</c:v>
                </c:pt>
                <c:pt idx="60">
                  <c:v>3.2998496138214448</c:v>
                </c:pt>
                <c:pt idx="61">
                  <c:v>2.6306719310824316</c:v>
                </c:pt>
                <c:pt idx="62">
                  <c:v>2.1864581672554975</c:v>
                </c:pt>
                <c:pt idx="63">
                  <c:v>1.8700904168987775</c:v>
                </c:pt>
                <c:pt idx="64">
                  <c:v>1.6333200466507816</c:v>
                </c:pt>
                <c:pt idx="65">
                  <c:v>1.4494639856155267</c:v>
                </c:pt>
                <c:pt idx="66">
                  <c:v>1.3025668880079699</c:v>
                </c:pt>
                <c:pt idx="67">
                  <c:v>0.11881517660761903</c:v>
                </c:pt>
                <c:pt idx="68">
                  <c:v>1.0353671283329854E-3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AE-4219-8F22-EAC0EC0630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66255"/>
        <c:axId val="1434963375"/>
      </c:scatterChart>
      <c:valAx>
        <c:axId val="1434966255"/>
        <c:scaling>
          <c:logBase val="10"/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</a:t>
                </a:r>
                <a:r>
                  <a:rPr lang="en-US" sz="1400" baseline="-25000">
                    <a:solidFill>
                      <a:sysClr val="windowText" lastClr="000000"/>
                    </a:solidFill>
                  </a:rPr>
                  <a:t>fluid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 = </a:t>
                </a:r>
                <a:r>
                  <a:rPr lang="en-US" sz="1400" baseline="30000">
                    <a:solidFill>
                      <a:sysClr val="windowText" lastClr="000000"/>
                    </a:solidFill>
                  </a:rPr>
                  <a:t>30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Si/</a:t>
                </a:r>
                <a:r>
                  <a:rPr lang="en-US" sz="1400" baseline="30000">
                    <a:solidFill>
                      <a:sysClr val="windowText" lastClr="000000"/>
                    </a:solidFill>
                  </a:rPr>
                  <a:t>28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Si</a:t>
                </a:r>
              </a:p>
            </c:rich>
          </c:tx>
          <c:layout>
            <c:manualLayout>
              <c:xMode val="edge"/>
              <c:yMode val="edge"/>
              <c:x val="0.47680817924665247"/>
              <c:y val="0.91160413408958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63375"/>
        <c:crossesAt val="1.0000000000000003E-4"/>
        <c:crossBetween val="midCat"/>
      </c:valAx>
      <c:valAx>
        <c:axId val="1434963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mass titanite dissolved (mg)</a:t>
                </a:r>
              </a:p>
            </c:rich>
          </c:tx>
          <c:layout>
            <c:manualLayout>
              <c:xMode val="edge"/>
              <c:yMode val="edge"/>
              <c:x val="4.1062554680664914E-2"/>
              <c:y val="0.12925160396617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66255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39459529442229"/>
          <c:y val="0.16708333333333336"/>
          <c:w val="0.78271655504945292"/>
          <c:h val="0.63329505686789156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'ID_min 29Si'!$O$4</c:f>
              <c:strCache>
                <c:ptCount val="1"/>
                <c:pt idx="0">
                  <c:v>Reverse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'ID_min 29Si'!$K$5:$K$25</c:f>
              <c:numCache>
                <c:formatCode>General</c:formatCode>
                <c:ptCount val="21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</c:numCache>
            </c:numRef>
          </c:xVal>
          <c:yVal>
            <c:numRef>
              <c:f>'ID_min 29Si'!$O$5:$O$25</c:f>
              <c:numCache>
                <c:formatCode>0.00</c:formatCode>
                <c:ptCount val="21"/>
                <c:pt idx="0">
                  <c:v>0.29197198043764522</c:v>
                </c:pt>
                <c:pt idx="1">
                  <c:v>0.58871806954858052</c:v>
                </c:pt>
                <c:pt idx="2">
                  <c:v>0.88549148947293221</c:v>
                </c:pt>
                <c:pt idx="3">
                  <c:v>1.1822922439866945</c:v>
                </c:pt>
                <c:pt idx="4">
                  <c:v>1.4791203368665582</c:v>
                </c:pt>
                <c:pt idx="5">
                  <c:v>1.7759757718899087</c:v>
                </c:pt>
                <c:pt idx="6">
                  <c:v>2.0728585528348291</c:v>
                </c:pt>
                <c:pt idx="7">
                  <c:v>2.3697686834800966</c:v>
                </c:pt>
                <c:pt idx="8">
                  <c:v>2.6667061676051844</c:v>
                </c:pt>
                <c:pt idx="9">
                  <c:v>2.9636710089902651</c:v>
                </c:pt>
                <c:pt idx="10">
                  <c:v>3.260663211416206</c:v>
                </c:pt>
                <c:pt idx="11">
                  <c:v>3.5576827786645695</c:v>
                </c:pt>
                <c:pt idx="12">
                  <c:v>3.8547297145176178</c:v>
                </c:pt>
                <c:pt idx="13">
                  <c:v>4.1518040227583102</c:v>
                </c:pt>
                <c:pt idx="14">
                  <c:v>4.4489057071702991</c:v>
                </c:pt>
                <c:pt idx="15">
                  <c:v>4.7460347715379374</c:v>
                </c:pt>
                <c:pt idx="16">
                  <c:v>5.0431912196462783</c:v>
                </c:pt>
                <c:pt idx="17">
                  <c:v>5.3403750552810658</c:v>
                </c:pt>
                <c:pt idx="18">
                  <c:v>5.6375862822287495</c:v>
                </c:pt>
                <c:pt idx="19">
                  <c:v>5.9348249042764705</c:v>
                </c:pt>
                <c:pt idx="20">
                  <c:v>6.23209092521207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2A-4AC6-8382-3B48EA38CCF8}"/>
            </c:ext>
          </c:extLst>
        </c:ser>
        <c:ser>
          <c:idx val="0"/>
          <c:order val="1"/>
          <c:tx>
            <c:strRef>
              <c:f>'ID_min 29Si'!$M$4</c:f>
              <c:strCache>
                <c:ptCount val="1"/>
                <c:pt idx="0">
                  <c:v>Forward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'ID_min 29Si'!$K$5:$K$74</c:f>
              <c:numCache>
                <c:formatCode>General</c:formatCode>
                <c:ptCount val="70"/>
                <c:pt idx="0">
                  <c:v>0.1</c:v>
                </c:pt>
                <c:pt idx="1">
                  <c:v>0.15</c:v>
                </c:pt>
                <c:pt idx="2">
                  <c:v>0.2</c:v>
                </c:pt>
                <c:pt idx="3">
                  <c:v>0.25</c:v>
                </c:pt>
                <c:pt idx="4">
                  <c:v>0.3</c:v>
                </c:pt>
                <c:pt idx="5">
                  <c:v>0.35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0.55000000000000004</c:v>
                </c:pt>
                <c:pt idx="10">
                  <c:v>0.6</c:v>
                </c:pt>
                <c:pt idx="11">
                  <c:v>0.65</c:v>
                </c:pt>
                <c:pt idx="12">
                  <c:v>0.7</c:v>
                </c:pt>
                <c:pt idx="13">
                  <c:v>0.75</c:v>
                </c:pt>
                <c:pt idx="14">
                  <c:v>0.8</c:v>
                </c:pt>
                <c:pt idx="15">
                  <c:v>0.85</c:v>
                </c:pt>
                <c:pt idx="16">
                  <c:v>0.9</c:v>
                </c:pt>
                <c:pt idx="17">
                  <c:v>0.95</c:v>
                </c:pt>
                <c:pt idx="18">
                  <c:v>1</c:v>
                </c:pt>
                <c:pt idx="19">
                  <c:v>1.05</c:v>
                </c:pt>
                <c:pt idx="20">
                  <c:v>1.1000000000000001</c:v>
                </c:pt>
                <c:pt idx="21">
                  <c:v>1.1499999999999999</c:v>
                </c:pt>
                <c:pt idx="22">
                  <c:v>1.2</c:v>
                </c:pt>
                <c:pt idx="23">
                  <c:v>1.25</c:v>
                </c:pt>
                <c:pt idx="24">
                  <c:v>1.3</c:v>
                </c:pt>
                <c:pt idx="25">
                  <c:v>1.35</c:v>
                </c:pt>
                <c:pt idx="26">
                  <c:v>1.4</c:v>
                </c:pt>
                <c:pt idx="27">
                  <c:v>1.45</c:v>
                </c:pt>
                <c:pt idx="28">
                  <c:v>1.5</c:v>
                </c:pt>
                <c:pt idx="29">
                  <c:v>1.55</c:v>
                </c:pt>
                <c:pt idx="30">
                  <c:v>1.6</c:v>
                </c:pt>
                <c:pt idx="31">
                  <c:v>1.65</c:v>
                </c:pt>
                <c:pt idx="32">
                  <c:v>1.7</c:v>
                </c:pt>
                <c:pt idx="33">
                  <c:v>1.75</c:v>
                </c:pt>
                <c:pt idx="35">
                  <c:v>1.8</c:v>
                </c:pt>
                <c:pt idx="36">
                  <c:v>1.85</c:v>
                </c:pt>
                <c:pt idx="37">
                  <c:v>1.9</c:v>
                </c:pt>
                <c:pt idx="38">
                  <c:v>1.95</c:v>
                </c:pt>
                <c:pt idx="39">
                  <c:v>2</c:v>
                </c:pt>
                <c:pt idx="40">
                  <c:v>2.0499999999999998</c:v>
                </c:pt>
                <c:pt idx="41">
                  <c:v>2.1</c:v>
                </c:pt>
                <c:pt idx="42">
                  <c:v>2.15</c:v>
                </c:pt>
                <c:pt idx="43">
                  <c:v>2.2000000000000002</c:v>
                </c:pt>
                <c:pt idx="44">
                  <c:v>2.25</c:v>
                </c:pt>
                <c:pt idx="45">
                  <c:v>2.2999999999999998</c:v>
                </c:pt>
                <c:pt idx="46">
                  <c:v>2.35</c:v>
                </c:pt>
                <c:pt idx="47">
                  <c:v>2.4</c:v>
                </c:pt>
                <c:pt idx="48">
                  <c:v>2.4500000000000002</c:v>
                </c:pt>
                <c:pt idx="49">
                  <c:v>2.5</c:v>
                </c:pt>
                <c:pt idx="50">
                  <c:v>2.5499999999999998</c:v>
                </c:pt>
                <c:pt idx="51">
                  <c:v>2.6</c:v>
                </c:pt>
                <c:pt idx="52">
                  <c:v>2.65</c:v>
                </c:pt>
                <c:pt idx="53">
                  <c:v>2.7</c:v>
                </c:pt>
                <c:pt idx="54">
                  <c:v>2.75</c:v>
                </c:pt>
                <c:pt idx="55">
                  <c:v>2.8</c:v>
                </c:pt>
                <c:pt idx="56">
                  <c:v>2.85</c:v>
                </c:pt>
                <c:pt idx="57">
                  <c:v>2.9</c:v>
                </c:pt>
                <c:pt idx="58">
                  <c:v>2.95</c:v>
                </c:pt>
                <c:pt idx="59">
                  <c:v>3</c:v>
                </c:pt>
                <c:pt idx="60">
                  <c:v>4</c:v>
                </c:pt>
                <c:pt idx="61">
                  <c:v>5</c:v>
                </c:pt>
                <c:pt idx="62">
                  <c:v>6</c:v>
                </c:pt>
                <c:pt idx="63">
                  <c:v>7</c:v>
                </c:pt>
                <c:pt idx="64">
                  <c:v>8</c:v>
                </c:pt>
                <c:pt idx="65">
                  <c:v>9</c:v>
                </c:pt>
                <c:pt idx="66">
                  <c:v>10</c:v>
                </c:pt>
                <c:pt idx="67">
                  <c:v>100</c:v>
                </c:pt>
                <c:pt idx="68">
                  <c:v>1000</c:v>
                </c:pt>
              </c:numCache>
            </c:numRef>
          </c:xVal>
          <c:yVal>
            <c:numRef>
              <c:f>'ID_min 29Si'!$M$5:$M$74</c:f>
              <c:numCache>
                <c:formatCode>0.00</c:formatCode>
                <c:ptCount val="70"/>
                <c:pt idx="20">
                  <c:v>6.2269799591650212</c:v>
                </c:pt>
                <c:pt idx="21">
                  <c:v>5.9434554962258792</c:v>
                </c:pt>
                <c:pt idx="22">
                  <c:v>5.6846024953479484</c:v>
                </c:pt>
                <c:pt idx="23">
                  <c:v>5.4473349666651902</c:v>
                </c:pt>
                <c:pt idx="24">
                  <c:v>5.2290609948643016</c:v>
                </c:pt>
                <c:pt idx="25">
                  <c:v>5.0275876663475092</c:v>
                </c:pt>
                <c:pt idx="26">
                  <c:v>4.841047136218469</c:v>
                </c:pt>
                <c:pt idx="27">
                  <c:v>4.667838547114159</c:v>
                </c:pt>
                <c:pt idx="28">
                  <c:v>4.506581971463067</c:v>
                </c:pt>
                <c:pt idx="29">
                  <c:v>4.3560815702066771</c:v>
                </c:pt>
                <c:pt idx="30">
                  <c:v>4.2152958857727949</c:v>
                </c:pt>
                <c:pt idx="31">
                  <c:v>4.0833137079024979</c:v>
                </c:pt>
                <c:pt idx="32">
                  <c:v>3.9593343296368935</c:v>
                </c:pt>
                <c:pt idx="33">
                  <c:v>3.8426512891817439</c:v>
                </c:pt>
                <c:pt idx="35">
                  <c:v>3.7326389001555729</c:v>
                </c:pt>
                <c:pt idx="36">
                  <c:v>3.6287410277945038</c:v>
                </c:pt>
                <c:pt idx="37">
                  <c:v>3.530461686019323</c:v>
                </c:pt>
                <c:pt idx="38">
                  <c:v>3.4373571198014705</c:v>
                </c:pt>
                <c:pt idx="39">
                  <c:v>3.3490291061264759</c:v>
                </c:pt>
                <c:pt idx="40">
                  <c:v>3.2651192602149131</c:v>
                </c:pt>
                <c:pt idx="41">
                  <c:v>3.1853041753045939</c:v>
                </c:pt>
                <c:pt idx="42">
                  <c:v>3.1092912570141564</c:v>
                </c:pt>
                <c:pt idx="43">
                  <c:v>3.0368151391745708</c:v>
                </c:pt>
                <c:pt idx="44">
                  <c:v>2.9676345885886959</c:v>
                </c:pt>
                <c:pt idx="45">
                  <c:v>2.9015298226363062</c:v>
                </c:pt>
                <c:pt idx="46">
                  <c:v>2.8383001768784641</c:v>
                </c:pt>
                <c:pt idx="47">
                  <c:v>2.7777620705159203</c:v>
                </c:pt>
                <c:pt idx="48">
                  <c:v>2.7197472262499809</c:v>
                </c:pt>
                <c:pt idx="49">
                  <c:v>2.6641011081908146</c:v>
                </c:pt>
                <c:pt idx="50">
                  <c:v>2.6106815472767404</c:v>
                </c:pt>
                <c:pt idx="51">
                  <c:v>2.5593575284596444</c:v>
                </c:pt>
                <c:pt idx="52">
                  <c:v>2.5100081178736118</c:v>
                </c:pt>
                <c:pt idx="53">
                  <c:v>2.462521511492834</c:v>
                </c:pt>
                <c:pt idx="54">
                  <c:v>2.4167941895255183</c:v>
                </c:pt>
                <c:pt idx="55">
                  <c:v>2.3727301630825788</c:v>
                </c:pt>
                <c:pt idx="56">
                  <c:v>2.3302403015834585</c:v>
                </c:pt>
                <c:pt idx="57">
                  <c:v>2.2892417309812183</c:v>
                </c:pt>
                <c:pt idx="58">
                  <c:v>2.2496572942573736</c:v>
                </c:pt>
                <c:pt idx="59">
                  <c:v>2.2114150667965538</c:v>
                </c:pt>
                <c:pt idx="60">
                  <c:v>1.6499248069107226</c:v>
                </c:pt>
                <c:pt idx="61">
                  <c:v>1.3153359655412158</c:v>
                </c:pt>
                <c:pt idx="62">
                  <c:v>1.093229083627749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2A-4AC6-8382-3B48EA38CC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4966255"/>
        <c:axId val="1434963375"/>
      </c:scatterChart>
      <c:valAx>
        <c:axId val="1434966255"/>
        <c:scaling>
          <c:logBase val="10"/>
          <c:orientation val="minMax"/>
          <c:max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R</a:t>
                </a:r>
                <a:r>
                  <a:rPr lang="en-US" sz="1400" baseline="-25000">
                    <a:solidFill>
                      <a:sysClr val="windowText" lastClr="000000"/>
                    </a:solidFill>
                  </a:rPr>
                  <a:t>fluid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 = </a:t>
                </a:r>
                <a:r>
                  <a:rPr lang="en-US" sz="1400" baseline="30000">
                    <a:solidFill>
                      <a:sysClr val="windowText" lastClr="000000"/>
                    </a:solidFill>
                  </a:rPr>
                  <a:t>30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Si/</a:t>
                </a:r>
                <a:r>
                  <a:rPr lang="en-US" sz="1400" baseline="30000">
                    <a:solidFill>
                      <a:sysClr val="windowText" lastClr="000000"/>
                    </a:solidFill>
                  </a:rPr>
                  <a:t>28</a:t>
                </a:r>
                <a:r>
                  <a:rPr lang="en-US" sz="1400">
                    <a:solidFill>
                      <a:sysClr val="windowText" lastClr="000000"/>
                    </a:solidFill>
                  </a:rPr>
                  <a:t>Si</a:t>
                </a:r>
              </a:p>
            </c:rich>
          </c:tx>
          <c:layout>
            <c:manualLayout>
              <c:xMode val="edge"/>
              <c:yMode val="edge"/>
              <c:x val="0.47680817924665247"/>
              <c:y val="0.911604134089584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63375"/>
        <c:crossesAt val="1.0000000000000003E-4"/>
        <c:crossBetween val="midCat"/>
      </c:valAx>
      <c:valAx>
        <c:axId val="1434963375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/>
                    </a:solidFill>
                  </a:rPr>
                  <a:t>mass titanite dissolved (mg)</a:t>
                </a:r>
              </a:p>
            </c:rich>
          </c:tx>
          <c:layout>
            <c:manualLayout>
              <c:xMode val="edge"/>
              <c:yMode val="edge"/>
              <c:x val="4.1062554680664914E-2"/>
              <c:y val="0.1292516039661708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966255"/>
        <c:crossesAt val="0.1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13" Type="http://schemas.openxmlformats.org/officeDocument/2006/relationships/customXml" Target="../ink/ink6.xml"/><Relationship Id="rId3" Type="http://schemas.openxmlformats.org/officeDocument/2006/relationships/customXml" Target="../ink/ink1.xml"/><Relationship Id="rId7" Type="http://schemas.openxmlformats.org/officeDocument/2006/relationships/customXml" Target="../ink/ink3.xml"/><Relationship Id="rId12" Type="http://schemas.openxmlformats.org/officeDocument/2006/relationships/image" Target="../media/image6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11" Type="http://schemas.openxmlformats.org/officeDocument/2006/relationships/customXml" Target="../ink/ink5.xml"/><Relationship Id="rId5" Type="http://schemas.openxmlformats.org/officeDocument/2006/relationships/customXml" Target="../ink/ink2.xml"/><Relationship Id="rId10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customXml" Target="../ink/ink4.xml"/><Relationship Id="rId1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1428750</xdr:colOff>
      <xdr:row>27</xdr:row>
      <xdr:rowOff>9525</xdr:rowOff>
    </xdr:from>
    <xdr:to>
      <xdr:col>4</xdr:col>
      <xdr:colOff>971550</xdr:colOff>
      <xdr:row>31</xdr:row>
      <xdr:rowOff>133350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008D47E-31D0-E476-E447-801DB6B97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8750" y="5124450"/>
          <a:ext cx="3829050" cy="847725"/>
        </a:xfrm>
        <a:prstGeom prst="rect">
          <a:avLst/>
        </a:prstGeom>
      </xdr:spPr>
    </xdr:pic>
    <xdr:clientData/>
  </xdr:twoCellAnchor>
  <xdr:twoCellAnchor>
    <xdr:from>
      <xdr:col>16</xdr:col>
      <xdr:colOff>257174</xdr:colOff>
      <xdr:row>13</xdr:row>
      <xdr:rowOff>28575</xdr:rowOff>
    </xdr:from>
    <xdr:to>
      <xdr:col>26</xdr:col>
      <xdr:colOff>533399</xdr:colOff>
      <xdr:row>26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F33B1-E51D-B89F-420B-52EC68607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495285</xdr:colOff>
      <xdr:row>38</xdr:row>
      <xdr:rowOff>18840</xdr:rowOff>
    </xdr:from>
    <xdr:to>
      <xdr:col>5</xdr:col>
      <xdr:colOff>238350</xdr:colOff>
      <xdr:row>39</xdr:row>
      <xdr:rowOff>19500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E265D0AA-D606-193B-081C-75982E206F91}"/>
                </a:ext>
              </a:extLst>
            </xdr14:cNvPr>
            <xdr14:cNvContentPartPr/>
          </xdr14:nvContentPartPr>
          <xdr14:nvPr macro=""/>
          <xdr14:xfrm>
            <a:off x="3990960" y="7486440"/>
            <a:ext cx="1524240" cy="1911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265D0AA-D606-193B-081C-75982E206F9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984840" y="7480320"/>
              <a:ext cx="1536480" cy="203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561630</xdr:colOff>
      <xdr:row>37</xdr:row>
      <xdr:rowOff>161820</xdr:rowOff>
    </xdr:from>
    <xdr:to>
      <xdr:col>6</xdr:col>
      <xdr:colOff>524025</xdr:colOff>
      <xdr:row>39</xdr:row>
      <xdr:rowOff>28860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5C86014-94EE-0B5B-D512-C661DC392A74}"/>
                </a:ext>
              </a:extLst>
            </xdr14:cNvPr>
            <xdr14:cNvContentPartPr/>
          </xdr14:nvContentPartPr>
          <xdr14:nvPr macro=""/>
          <xdr14:xfrm>
            <a:off x="5838480" y="7438920"/>
            <a:ext cx="886320" cy="248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25C86014-94EE-0B5B-D512-C661DC392A7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832360" y="7432800"/>
              <a:ext cx="898560" cy="26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742590</xdr:colOff>
      <xdr:row>37</xdr:row>
      <xdr:rowOff>133380</xdr:rowOff>
    </xdr:from>
    <xdr:to>
      <xdr:col>6</xdr:col>
      <xdr:colOff>247905</xdr:colOff>
      <xdr:row>39</xdr:row>
      <xdr:rowOff>38580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11C44C0F-1C92-D7EA-16E8-00B937726771}"/>
                </a:ext>
              </a:extLst>
            </xdr14:cNvPr>
            <xdr14:cNvContentPartPr/>
          </xdr14:nvContentPartPr>
          <xdr14:nvPr macro=""/>
          <xdr14:xfrm>
            <a:off x="5028840" y="7410480"/>
            <a:ext cx="1419840" cy="2862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11C44C0F-1C92-D7EA-16E8-00B93772677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022720" y="7404360"/>
              <a:ext cx="1432080" cy="298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446460</xdr:colOff>
      <xdr:row>37</xdr:row>
      <xdr:rowOff>123660</xdr:rowOff>
    </xdr:from>
    <xdr:to>
      <xdr:col>7</xdr:col>
      <xdr:colOff>457260</xdr:colOff>
      <xdr:row>39</xdr:row>
      <xdr:rowOff>17700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64C6C5C-E797-0DA8-3C66-D2188F6A8181}"/>
                </a:ext>
              </a:extLst>
            </xdr14:cNvPr>
            <xdr14:cNvContentPartPr/>
          </xdr14:nvContentPartPr>
          <xdr14:nvPr macro=""/>
          <xdr14:xfrm>
            <a:off x="7571160" y="7400760"/>
            <a:ext cx="10800" cy="27504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264C6C5C-E797-0DA8-3C66-D2188F6A8181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7565040" y="7394640"/>
              <a:ext cx="23040" cy="287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323565</xdr:colOff>
      <xdr:row>37</xdr:row>
      <xdr:rowOff>161820</xdr:rowOff>
    </xdr:from>
    <xdr:to>
      <xdr:col>4</xdr:col>
      <xdr:colOff>558270</xdr:colOff>
      <xdr:row>39</xdr:row>
      <xdr:rowOff>70260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DD7FF28A-C583-0DBD-6667-CE5C7C89CDDE}"/>
                </a:ext>
              </a:extLst>
            </xdr14:cNvPr>
            <xdr14:cNvContentPartPr/>
          </xdr14:nvContentPartPr>
          <xdr14:nvPr macro=""/>
          <xdr14:xfrm>
            <a:off x="3819240" y="7438920"/>
            <a:ext cx="1025280" cy="28944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DD7FF28A-C583-0DBD-6667-CE5C7C89CDDE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813120" y="7432800"/>
              <a:ext cx="1037520" cy="301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380895</xdr:colOff>
      <xdr:row>37</xdr:row>
      <xdr:rowOff>180900</xdr:rowOff>
    </xdr:from>
    <xdr:to>
      <xdr:col>2</xdr:col>
      <xdr:colOff>438495</xdr:colOff>
      <xdr:row>39</xdr:row>
      <xdr:rowOff>28860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CE5210B-42C3-553D-0465-1DE573A97D7B}"/>
                </a:ext>
              </a:extLst>
            </xdr14:cNvPr>
            <xdr14:cNvContentPartPr/>
          </xdr14:nvContentPartPr>
          <xdr14:nvPr macro=""/>
          <xdr14:xfrm>
            <a:off x="3019320" y="7458000"/>
            <a:ext cx="57600" cy="2289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CE5210B-42C3-553D-0465-1DE573A97D7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013200" y="7451880"/>
              <a:ext cx="69840" cy="2412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0.32253</cdr:x>
      <cdr:y>0.21965</cdr:y>
    </cdr:from>
    <cdr:to>
      <cdr:x>0.7652</cdr:x>
      <cdr:y>0.37225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BEBDA09F-755B-DE50-D8F9-E0C6D62C2952}"/>
            </a:ext>
          </a:extLst>
        </cdr:cNvPr>
        <cdr:cNvGrpSpPr/>
      </cdr:nvGrpSpPr>
      <cdr:grpSpPr>
        <a:xfrm xmlns:a="http://schemas.openxmlformats.org/drawingml/2006/main">
          <a:off x="2055234" y="602544"/>
          <a:ext cx="2820793" cy="418612"/>
          <a:chOff x="2054226" y="603250"/>
          <a:chExt cx="2819400" cy="419100"/>
        </a:xfrm>
      </cdr:grpSpPr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DDDAFBF7-1E25-7000-F71B-3E07934F1E73}"/>
              </a:ext>
            </a:extLst>
          </cdr:cNvPr>
          <cdr:cNvCxnSpPr/>
        </cdr:nvCxnSpPr>
        <cdr:spPr>
          <a:xfrm xmlns:a="http://schemas.openxmlformats.org/drawingml/2006/main" flipV="1">
            <a:off x="2054226" y="650875"/>
            <a:ext cx="923925" cy="37147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3">
            <a:schemeClr val="accent2"/>
          </a:lnRef>
          <a:fillRef xmlns:a="http://schemas.openxmlformats.org/drawingml/2006/main" idx="0">
            <a:schemeClr val="accent2"/>
          </a:fillRef>
          <a:effectRef xmlns:a="http://schemas.openxmlformats.org/drawingml/2006/main" idx="2">
            <a:schemeClr val="accent2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Straight Arrow Connector 4">
            <a:extLst xmlns:a="http://schemas.openxmlformats.org/drawingml/2006/main">
              <a:ext uri="{FF2B5EF4-FFF2-40B4-BE49-F238E27FC236}">
                <a16:creationId xmlns:a16="http://schemas.microsoft.com/office/drawing/2014/main" id="{869F0DF1-ED96-0702-6F5F-078AFD0BB8C5}"/>
              </a:ext>
            </a:extLst>
          </cdr:cNvPr>
          <cdr:cNvCxnSpPr/>
        </cdr:nvCxnSpPr>
        <cdr:spPr>
          <a:xfrm xmlns:a="http://schemas.openxmlformats.org/drawingml/2006/main" flipH="1" flipV="1">
            <a:off x="4044951" y="603250"/>
            <a:ext cx="828675" cy="304800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3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2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0</xdr:rowOff>
    </xdr:from>
    <xdr:to>
      <xdr:col>6</xdr:col>
      <xdr:colOff>457200</xdr:colOff>
      <xdr:row>17</xdr:row>
      <xdr:rowOff>85725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09EFDC8-2756-C05B-2BD4-440612D14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57400"/>
          <a:ext cx="4572000" cy="9429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971550</xdr:colOff>
      <xdr:row>26</xdr:row>
      <xdr:rowOff>155575</xdr:rowOff>
    </xdr:from>
    <xdr:to>
      <xdr:col>4</xdr:col>
      <xdr:colOff>749300</xdr:colOff>
      <xdr:row>31</xdr:row>
      <xdr:rowOff>154940</xdr:rowOff>
    </xdr:to>
    <xdr:pic>
      <xdr:nvPicPr>
        <xdr:cNvPr id="2" name="图片 2">
          <a:extLst>
            <a:ext uri="{FF2B5EF4-FFF2-40B4-BE49-F238E27FC236}">
              <a16:creationId xmlns:a16="http://schemas.microsoft.com/office/drawing/2014/main" id="{E36A6CC7-4425-415B-B2B4-8D5419AAD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0" y="5248275"/>
          <a:ext cx="4267200" cy="920115"/>
        </a:xfrm>
        <a:prstGeom prst="rect">
          <a:avLst/>
        </a:prstGeom>
      </xdr:spPr>
    </xdr:pic>
    <xdr:clientData/>
  </xdr:twoCellAnchor>
  <xdr:twoCellAnchor>
    <xdr:from>
      <xdr:col>16</xdr:col>
      <xdr:colOff>257174</xdr:colOff>
      <xdr:row>13</xdr:row>
      <xdr:rowOff>28575</xdr:rowOff>
    </xdr:from>
    <xdr:to>
      <xdr:col>26</xdr:col>
      <xdr:colOff>533399</xdr:colOff>
      <xdr:row>26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AA54A8-DD96-44C8-94C9-A56C6A4412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0.32253</cdr:x>
      <cdr:y>0.21965</cdr:y>
    </cdr:from>
    <cdr:to>
      <cdr:x>0.7652</cdr:x>
      <cdr:y>0.37225</cdr:y>
    </cdr:to>
    <cdr:grpSp>
      <cdr:nvGrpSpPr>
        <cdr:cNvPr id="6" name="Group 5">
          <a:extLst xmlns:a="http://schemas.openxmlformats.org/drawingml/2006/main">
            <a:ext uri="{FF2B5EF4-FFF2-40B4-BE49-F238E27FC236}">
              <a16:creationId xmlns:a16="http://schemas.microsoft.com/office/drawing/2014/main" id="{BEBDA09F-755B-DE50-D8F9-E0C6D62C2952}"/>
            </a:ext>
          </a:extLst>
        </cdr:cNvPr>
        <cdr:cNvGrpSpPr/>
      </cdr:nvGrpSpPr>
      <cdr:grpSpPr>
        <a:xfrm xmlns:a="http://schemas.openxmlformats.org/drawingml/2006/main">
          <a:off x="2055234" y="602544"/>
          <a:ext cx="2820793" cy="418612"/>
          <a:chOff x="2054226" y="603250"/>
          <a:chExt cx="2819400" cy="419100"/>
        </a:xfrm>
      </cdr:grpSpPr>
      <cdr:cxnSp macro="">
        <cdr:nvCxnSpPr>
          <cdr:cNvPr id="3" name="Straight Arrow Connector 2">
            <a:extLst xmlns:a="http://schemas.openxmlformats.org/drawingml/2006/main">
              <a:ext uri="{FF2B5EF4-FFF2-40B4-BE49-F238E27FC236}">
                <a16:creationId xmlns:a16="http://schemas.microsoft.com/office/drawing/2014/main" id="{DDDAFBF7-1E25-7000-F71B-3E07934F1E73}"/>
              </a:ext>
            </a:extLst>
          </cdr:cNvPr>
          <cdr:cNvCxnSpPr/>
        </cdr:nvCxnSpPr>
        <cdr:spPr>
          <a:xfrm xmlns:a="http://schemas.openxmlformats.org/drawingml/2006/main" flipV="1">
            <a:off x="2054226" y="650875"/>
            <a:ext cx="923925" cy="37147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3">
            <a:schemeClr val="accent2"/>
          </a:lnRef>
          <a:fillRef xmlns:a="http://schemas.openxmlformats.org/drawingml/2006/main" idx="0">
            <a:schemeClr val="accent2"/>
          </a:fillRef>
          <a:effectRef xmlns:a="http://schemas.openxmlformats.org/drawingml/2006/main" idx="2">
            <a:schemeClr val="accent2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5" name="Straight Arrow Connector 4">
            <a:extLst xmlns:a="http://schemas.openxmlformats.org/drawingml/2006/main">
              <a:ext uri="{FF2B5EF4-FFF2-40B4-BE49-F238E27FC236}">
                <a16:creationId xmlns:a16="http://schemas.microsoft.com/office/drawing/2014/main" id="{869F0DF1-ED96-0702-6F5F-078AFD0BB8C5}"/>
              </a:ext>
            </a:extLst>
          </cdr:cNvPr>
          <cdr:cNvCxnSpPr/>
        </cdr:nvCxnSpPr>
        <cdr:spPr>
          <a:xfrm xmlns:a="http://schemas.openxmlformats.org/drawingml/2006/main" flipH="1" flipV="1">
            <a:off x="4044951" y="603250"/>
            <a:ext cx="828675" cy="304800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tailEnd type="triangle"/>
          </a:ln>
        </cdr:spPr>
        <cdr:style>
          <a:lnRef xmlns:a="http://schemas.openxmlformats.org/drawingml/2006/main" idx="3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2">
            <a:schemeClr val="accent1"/>
          </a:effectRef>
          <a:fontRef xmlns:a="http://schemas.openxmlformats.org/drawingml/2006/main" idx="minor">
            <a:schemeClr val="tx1"/>
          </a:fontRef>
        </cdr:style>
      </cdr:cxnSp>
    </cdr:grpSp>
  </cdr:relSizeAnchor>
</c:userShapes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8:51.17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4233 0 24285,'-4233'530'0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9:02.53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2461 0 24274,'-2461'688'0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9:14.4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24442,'3943'794'0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9:22.31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30 0 24575,'-2'1'0,"1"-1"0,0 0 0,0 1 0,0 0 0,0-1 0,0 1 0,0 0 0,0 0 0,0-1 0,0 1 0,0 0 0,0 0 0,0 0 0,0-1 0,1 1 0,-1 0 0,0 0 0,1 0 0,-1 1 0,1-1 0,0 0 0,-1 0 0,1 0 0,0 1 0,-1-1 0,1 0 0,0 2 0,-5 39 0,5-38 0,-3 422 65,6-220-1495,-3-183-5396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9:30.7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27 24575,'0'-1'0,"0"0"0,1-1 0,-1 1 0,1 0 0,0 0 0,-1 0 0,1 1 0,0-2 0,0 1 0,0 0 0,0 0 0,0 0 0,0 0 0,0 0 0,0 1 0,0-1 0,0 0 0,0 1 0,0-1 0,1 1 0,-1-2 0,0 2 0,0 0 0,1 0 0,-1 0 0,0 0 0,3 0 0,42-5 0,-40 5 0,447 0 0,-407 3 0,-2 2 0,0 2 0,1 2 0,51 18 0,165 73 0,-204-76 0,99 26 0,-22-10 0,249 121 0,-333-139 0,100 27 0,-89-32 0,57 27 0,-63-23 0,92 23 0,-39-14 0,154 68 0,-261-96 0,19 5-455,-2 2 0,26 15 0,-31-14-6371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5T14:09:37.67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24155,'159'635'0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4"/>
  <sheetViews>
    <sheetView topLeftCell="B1" workbookViewId="0">
      <pane ySplit="1" topLeftCell="A2" activePane="bottomLeft" state="frozen"/>
      <selection pane="bottomLeft" activeCell="M72" sqref="M72"/>
    </sheetView>
  </sheetViews>
  <sheetFormatPr defaultRowHeight="15" x14ac:dyDescent="0.25"/>
  <cols>
    <col min="1" max="1" width="28.42578125" style="1" customWidth="1"/>
    <col min="2" max="2" width="11.140625" style="1" bestFit="1" customWidth="1"/>
    <col min="3" max="3" width="12.85546875" style="1" bestFit="1" customWidth="1"/>
    <col min="4" max="4" width="11.85546875" style="1" bestFit="1" customWidth="1"/>
    <col min="5" max="5" width="14.85546875" style="1" bestFit="1" customWidth="1"/>
    <col min="6" max="6" width="13.85546875" style="1" bestFit="1" customWidth="1"/>
    <col min="7" max="8" width="13.85546875" bestFit="1" customWidth="1"/>
    <col min="9" max="9" width="14.42578125" bestFit="1" customWidth="1"/>
    <col min="10" max="10" width="13.85546875" bestFit="1" customWidth="1"/>
    <col min="11" max="11" width="18.140625" bestFit="1" customWidth="1"/>
    <col min="12" max="12" width="12.85546875" customWidth="1"/>
    <col min="13" max="13" width="9.85546875" bestFit="1" customWidth="1"/>
  </cols>
  <sheetData>
    <row r="1" spans="1:1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</row>
    <row r="2" spans="1:15" ht="15.75" x14ac:dyDescent="0.25">
      <c r="A2" s="5" t="s">
        <v>9</v>
      </c>
      <c r="B2" s="2"/>
      <c r="C2" s="2"/>
      <c r="D2" s="3">
        <v>-0.92436513356886074</v>
      </c>
      <c r="E2" s="3">
        <v>0.44670497142751397</v>
      </c>
      <c r="F2" s="3"/>
    </row>
    <row r="3" spans="1:15" ht="15.75" x14ac:dyDescent="0.25">
      <c r="A3" s="5" t="s">
        <v>10</v>
      </c>
      <c r="B3" s="2"/>
      <c r="C3" s="2"/>
      <c r="D3" s="3">
        <v>-47.039147020783481</v>
      </c>
      <c r="E3" s="3">
        <v>-35.736977735757385</v>
      </c>
      <c r="F3" s="3"/>
    </row>
    <row r="4" spans="1:15" x14ac:dyDescent="0.25">
      <c r="A4" s="2"/>
      <c r="B4" s="2"/>
      <c r="C4" s="2"/>
      <c r="D4" s="2"/>
      <c r="E4" s="2"/>
      <c r="F4" s="2"/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ht="15.75" x14ac:dyDescent="0.25">
      <c r="A5" s="6" t="s">
        <v>16</v>
      </c>
      <c r="B5" s="3">
        <v>-4.1073499527093755</v>
      </c>
      <c r="C5" s="3">
        <v>0.17400779010068312</v>
      </c>
      <c r="D5" s="3">
        <v>0.78692254053166122</v>
      </c>
      <c r="E5" s="3">
        <v>1.1808269302756025</v>
      </c>
      <c r="F5" s="3">
        <v>0.17400779010068312</v>
      </c>
      <c r="G5" s="3">
        <v>0.786922540531661</v>
      </c>
      <c r="H5" s="3">
        <v>1.1808269302756</v>
      </c>
      <c r="I5" s="3">
        <v>0</v>
      </c>
      <c r="J5" s="3">
        <v>0</v>
      </c>
      <c r="K5">
        <v>0.1</v>
      </c>
      <c r="L5" s="4">
        <f>($E$9*$E$8*($E$11-$K5*$E$12))/($E$10*($K5*$E$19-$E$18))</f>
        <v>8.7328230991853938E+20</v>
      </c>
      <c r="M5" s="3"/>
      <c r="N5" s="4">
        <f>($E$9*$E$8*($E$18-$K5*$E$19))/($E$10*($K5*$E$12-$E$11))</f>
        <v>1.9183408064977354E+18</v>
      </c>
      <c r="O5" s="3">
        <f t="shared" ref="O5:O25" si="0">1000*183.31*N5/(6.022*10^23)</f>
        <v>0.58394396087529044</v>
      </c>
    </row>
    <row r="6" spans="1:15" ht="15.75" x14ac:dyDescent="0.25">
      <c r="A6" s="6" t="s">
        <v>17</v>
      </c>
      <c r="B6" s="3">
        <v>5.6874527701816406</v>
      </c>
      <c r="C6" s="3">
        <v>6379.9476596388004</v>
      </c>
      <c r="D6" s="3">
        <v>13253</v>
      </c>
      <c r="E6" s="3">
        <v>17891</v>
      </c>
      <c r="F6" s="10">
        <v>41256.400000000001</v>
      </c>
      <c r="G6" s="10">
        <v>15195.9</v>
      </c>
      <c r="H6" s="10">
        <v>46189.2</v>
      </c>
      <c r="I6" s="3">
        <v>0.2</v>
      </c>
      <c r="J6" s="3">
        <v>3</v>
      </c>
      <c r="K6">
        <v>0.15</v>
      </c>
      <c r="L6" s="4">
        <f t="shared" ref="L6:L70" si="1">($E$9*$E$8*($E$11-$K6*$E$12))/($E$10*($K6*$E$19-$E$18))</f>
        <v>4.3310028806078136E+20</v>
      </c>
      <c r="M6" s="3"/>
      <c r="N6" s="4">
        <f t="shared" ref="N6:N70" si="2">($E$9*$E$8*($E$18-$K6*$E$19))/($E$10*($K6*$E$12-$E$11))</f>
        <v>3.8680488951192535E+18</v>
      </c>
      <c r="O6" s="3">
        <f t="shared" si="0"/>
        <v>1.177436139097161</v>
      </c>
    </row>
    <row r="7" spans="1:15" ht="15.75" x14ac:dyDescent="0.25">
      <c r="A7" s="6" t="s">
        <v>18</v>
      </c>
      <c r="B7" s="9">
        <v>1.1738999999999999</v>
      </c>
      <c r="C7" s="2">
        <v>1.768</v>
      </c>
      <c r="D7" s="2">
        <v>1.6950000000000001</v>
      </c>
      <c r="E7" s="2">
        <v>2.073</v>
      </c>
      <c r="F7" s="2">
        <v>1.768</v>
      </c>
      <c r="G7" s="2">
        <v>1.6950000000000001</v>
      </c>
      <c r="H7" s="2">
        <v>2.073</v>
      </c>
      <c r="I7" s="3">
        <v>1.3028</v>
      </c>
      <c r="J7" s="14">
        <v>1.5193000000000001</v>
      </c>
      <c r="K7">
        <v>0.2</v>
      </c>
      <c r="L7" s="4">
        <f t="shared" si="1"/>
        <v>2.8794626322139421E+20</v>
      </c>
      <c r="M7" s="3"/>
      <c r="N7" s="4">
        <f t="shared" si="2"/>
        <v>5.8179365551317412E+18</v>
      </c>
      <c r="O7" s="3">
        <f t="shared" si="0"/>
        <v>1.7709829789458644</v>
      </c>
    </row>
    <row r="8" spans="1:15" ht="15.75" x14ac:dyDescent="0.25">
      <c r="A8" s="6" t="s">
        <v>19</v>
      </c>
      <c r="B8" s="4">
        <f>6.022*10^20*B7/61</f>
        <v>1.158889475409836E+19</v>
      </c>
      <c r="C8" s="4">
        <f t="shared" ref="C8" si="3">6.022*10^20*C7/61</f>
        <v>1.745392786885246E+19</v>
      </c>
      <c r="D8" s="4">
        <f>6.022*10^20*D7/61</f>
        <v>1.673326229508197E+19</v>
      </c>
      <c r="E8" s="4">
        <f>6.022*10^20*E7/61</f>
        <v>2.0464927868852457E+19</v>
      </c>
      <c r="F8" s="4">
        <f t="shared" ref="F8" si="4">6.022*10^20*F7/61</f>
        <v>1.745392786885246E+19</v>
      </c>
      <c r="G8" s="4">
        <f>6.022*10^20*G7/61</f>
        <v>1.673326229508197E+19</v>
      </c>
      <c r="H8" s="4">
        <f>6.022*10^20*H7/61</f>
        <v>2.0464927868852457E+19</v>
      </c>
      <c r="I8" s="4">
        <f t="shared" ref="I8:J8" si="5">6.022*10^20*I7/61</f>
        <v>1.2861412459016393E+19</v>
      </c>
      <c r="J8" s="4">
        <f t="shared" si="5"/>
        <v>1.4998728852459016E+19</v>
      </c>
      <c r="K8">
        <v>0.25</v>
      </c>
      <c r="L8" s="4">
        <f t="shared" si="1"/>
        <v>2.1566069371165295E+20</v>
      </c>
      <c r="M8" s="3"/>
      <c r="N8" s="4">
        <f t="shared" si="2"/>
        <v>7.7680038113445796E+18</v>
      </c>
      <c r="O8" s="3">
        <f t="shared" si="0"/>
        <v>2.364584487973389</v>
      </c>
    </row>
    <row r="9" spans="1:15" ht="15.75" x14ac:dyDescent="0.25">
      <c r="A9" s="6" t="s">
        <v>20</v>
      </c>
      <c r="B9" s="8">
        <f t="shared" ref="B9:C9" si="6">1/3</f>
        <v>0.33333333333333331</v>
      </c>
      <c r="C9" s="8">
        <f t="shared" si="6"/>
        <v>0.33333333333333331</v>
      </c>
      <c r="D9" s="8">
        <f>1/3</f>
        <v>0.33333333333333331</v>
      </c>
      <c r="E9" s="8">
        <f t="shared" ref="E9:J9" si="7">1/3</f>
        <v>0.33333333333333331</v>
      </c>
      <c r="F9" s="8">
        <f t="shared" si="7"/>
        <v>0.33333333333333331</v>
      </c>
      <c r="G9" s="8">
        <f t="shared" si="7"/>
        <v>0.33333333333333331</v>
      </c>
      <c r="H9" s="8">
        <f t="shared" si="7"/>
        <v>0.33333333333333331</v>
      </c>
      <c r="I9" s="8">
        <f t="shared" si="7"/>
        <v>0.33333333333333331</v>
      </c>
      <c r="J9" s="8">
        <f t="shared" si="7"/>
        <v>0.33333333333333331</v>
      </c>
      <c r="K9">
        <v>0.3</v>
      </c>
      <c r="L9" s="4">
        <f t="shared" si="1"/>
        <v>1.7238216469136435E+20</v>
      </c>
      <c r="M9" s="3"/>
      <c r="N9" s="4">
        <f t="shared" si="2"/>
        <v>9.7182506885717238E+18</v>
      </c>
      <c r="O9" s="3">
        <f t="shared" si="0"/>
        <v>2.9582406737331164</v>
      </c>
    </row>
    <row r="10" spans="1:15" ht="15.75" x14ac:dyDescent="0.25">
      <c r="A10" s="6" t="s">
        <v>21</v>
      </c>
      <c r="B10" s="8">
        <f t="shared" ref="B10:C10" si="8">1/6</f>
        <v>0.16666666666666666</v>
      </c>
      <c r="C10" s="8">
        <f t="shared" si="8"/>
        <v>0.16666666666666666</v>
      </c>
      <c r="D10" s="8">
        <f>1/6</f>
        <v>0.16666666666666666</v>
      </c>
      <c r="E10" s="8">
        <f t="shared" ref="E10:J10" si="9">1/6</f>
        <v>0.16666666666666666</v>
      </c>
      <c r="F10" s="8">
        <f t="shared" si="9"/>
        <v>0.16666666666666666</v>
      </c>
      <c r="G10" s="8">
        <f t="shared" si="9"/>
        <v>0.16666666666666666</v>
      </c>
      <c r="H10" s="8">
        <f t="shared" si="9"/>
        <v>0.16666666666666666</v>
      </c>
      <c r="I10" s="8">
        <f t="shared" si="9"/>
        <v>0.16666666666666666</v>
      </c>
      <c r="J10" s="8">
        <f t="shared" si="9"/>
        <v>0.16666666666666666</v>
      </c>
      <c r="K10">
        <v>0.35</v>
      </c>
      <c r="L10" s="4">
        <f t="shared" si="1"/>
        <v>1.4356838057354025E+20</v>
      </c>
      <c r="M10" s="3"/>
      <c r="N10" s="4">
        <f t="shared" si="2"/>
        <v>1.1668677211631696E+19</v>
      </c>
      <c r="O10" s="3">
        <f t="shared" si="0"/>
        <v>3.5519515437798175</v>
      </c>
    </row>
    <row r="11" spans="1:15" ht="15.75" x14ac:dyDescent="0.25">
      <c r="A11" s="6" t="s">
        <v>22</v>
      </c>
      <c r="B11" s="7">
        <v>0.99907999999999997</v>
      </c>
      <c r="C11" s="7">
        <v>0.99907999999999997</v>
      </c>
      <c r="D11" s="7">
        <v>0.99907999999999997</v>
      </c>
      <c r="E11" s="7">
        <v>0.99907999999999997</v>
      </c>
      <c r="F11" s="7">
        <v>0.99907999999999997</v>
      </c>
      <c r="G11" s="7">
        <v>0.99907999999999997</v>
      </c>
      <c r="H11" s="7">
        <v>0.99907999999999997</v>
      </c>
      <c r="I11" s="7">
        <v>0.99907999999999997</v>
      </c>
      <c r="J11" s="7">
        <v>0.99907999999999997</v>
      </c>
      <c r="K11">
        <v>0.4</v>
      </c>
      <c r="L11" s="4">
        <f t="shared" si="1"/>
        <v>1.2300596447325192E+20</v>
      </c>
      <c r="M11" s="3"/>
      <c r="N11" s="4">
        <f t="shared" si="2"/>
        <v>1.3619283405347596E+19</v>
      </c>
      <c r="O11" s="3">
        <f t="shared" si="0"/>
        <v>4.1457171056696582</v>
      </c>
    </row>
    <row r="12" spans="1:15" ht="15.75" x14ac:dyDescent="0.25">
      <c r="A12" s="6" t="s">
        <v>23</v>
      </c>
      <c r="B12" s="7">
        <v>9.2000000000000003E-4</v>
      </c>
      <c r="C12" s="7">
        <v>9.2000000000000003E-4</v>
      </c>
      <c r="D12" s="7">
        <v>9.2000000000000003E-4</v>
      </c>
      <c r="E12" s="7">
        <v>9.2000000000000003E-4</v>
      </c>
      <c r="F12" s="7">
        <v>9.2000000000000003E-4</v>
      </c>
      <c r="G12" s="7">
        <v>9.2000000000000003E-4</v>
      </c>
      <c r="H12" s="7">
        <v>9.2000000000000003E-4</v>
      </c>
      <c r="I12" s="7">
        <v>9.2000000000000003E-4</v>
      </c>
      <c r="J12" s="7">
        <v>9.2000000000000003E-4</v>
      </c>
      <c r="K12">
        <v>0.45</v>
      </c>
      <c r="L12" s="4">
        <f t="shared" si="1"/>
        <v>1.0759445311499279E+20</v>
      </c>
      <c r="M12" s="3"/>
      <c r="N12" s="4">
        <f t="shared" si="2"/>
        <v>1.5570069294547094E+19</v>
      </c>
      <c r="O12" s="3">
        <f t="shared" si="0"/>
        <v>4.7395373669601932</v>
      </c>
    </row>
    <row r="13" spans="1:15" ht="15.75" x14ac:dyDescent="0.25">
      <c r="A13" s="6" t="s">
        <v>24</v>
      </c>
      <c r="B13" s="7">
        <f t="shared" ref="B13:G13" si="10">B6*B15/1000+B15</f>
        <v>5.1028581353559019E-2</v>
      </c>
      <c r="C13" s="7">
        <f t="shared" si="10"/>
        <v>0.37445854425007274</v>
      </c>
      <c r="D13" s="7">
        <f t="shared" si="10"/>
        <v>0.72319721999999997</v>
      </c>
      <c r="E13" s="7">
        <f>E6*E15/1000+E15</f>
        <v>0.95852934000000001</v>
      </c>
      <c r="F13" s="7">
        <f t="shared" si="10"/>
        <v>2.1440897359999997</v>
      </c>
      <c r="G13" s="7">
        <f t="shared" si="10"/>
        <v>0.82177996599999992</v>
      </c>
      <c r="H13" s="7">
        <f>H6*H15/1000+H15</f>
        <v>2.3943800079999997</v>
      </c>
      <c r="I13" s="7">
        <f t="shared" ref="I13:J13" si="11">I6*I15/1000+I15</f>
        <v>5.0750148000000002E-2</v>
      </c>
      <c r="J13" s="7">
        <f t="shared" si="11"/>
        <v>5.0892220000000002E-2</v>
      </c>
      <c r="K13">
        <v>0.5</v>
      </c>
      <c r="L13" s="4">
        <f t="shared" si="1"/>
        <v>9.5613820752158409E+19</v>
      </c>
      <c r="M13" s="3"/>
      <c r="N13" s="4">
        <f t="shared" si="2"/>
        <v>1.7521034904062429E+19</v>
      </c>
      <c r="O13" s="3">
        <f t="shared" si="0"/>
        <v>5.3334123352103688</v>
      </c>
    </row>
    <row r="14" spans="1:15" ht="15.75" x14ac:dyDescent="0.25">
      <c r="A14" s="6" t="s">
        <v>25</v>
      </c>
      <c r="B14" s="7">
        <v>4.6699999999999998E-2</v>
      </c>
      <c r="C14" s="7">
        <v>4.6699999999999998E-2</v>
      </c>
      <c r="D14" s="7">
        <v>4.6699999999999998E-2</v>
      </c>
      <c r="E14" s="7">
        <v>4.6699999999999998E-2</v>
      </c>
      <c r="F14" s="7">
        <v>4.6699999999999998E-2</v>
      </c>
      <c r="G14" s="7">
        <v>4.6699999999999998E-2</v>
      </c>
      <c r="H14" s="7">
        <v>4.6699999999999998E-2</v>
      </c>
      <c r="I14" s="7">
        <v>4.6699999999999998E-2</v>
      </c>
      <c r="J14" s="7">
        <v>4.6699999999999998E-2</v>
      </c>
      <c r="K14">
        <v>0.55000000000000004</v>
      </c>
      <c r="L14" s="4">
        <f t="shared" si="1"/>
        <v>8.6033154400274678E+19</v>
      </c>
      <c r="M14" s="3"/>
      <c r="N14" s="4">
        <f t="shared" si="2"/>
        <v>1.947218025873043E+19</v>
      </c>
      <c r="O14" s="3">
        <f t="shared" si="0"/>
        <v>5.9273420179805303</v>
      </c>
    </row>
    <row r="15" spans="1:15" ht="15.75" x14ac:dyDescent="0.25">
      <c r="A15" s="6" t="s">
        <v>26</v>
      </c>
      <c r="B15" s="7">
        <v>5.074E-2</v>
      </c>
      <c r="C15" s="7">
        <v>5.074E-2</v>
      </c>
      <c r="D15" s="7">
        <v>5.074E-2</v>
      </c>
      <c r="E15" s="7">
        <v>5.074E-2</v>
      </c>
      <c r="F15" s="7">
        <v>5.074E-2</v>
      </c>
      <c r="G15" s="7">
        <v>5.074E-2</v>
      </c>
      <c r="H15" s="7">
        <v>5.074E-2</v>
      </c>
      <c r="I15" s="7">
        <v>5.074E-2</v>
      </c>
      <c r="J15" s="7">
        <v>5.074E-2</v>
      </c>
      <c r="K15">
        <v>0.6</v>
      </c>
      <c r="L15" s="4">
        <f t="shared" si="1"/>
        <v>7.8196964536344855E+19</v>
      </c>
      <c r="M15" s="3"/>
      <c r="N15" s="4">
        <f t="shared" si="2"/>
        <v>2.1423505383392494E+19</v>
      </c>
      <c r="O15" s="3">
        <f t="shared" si="0"/>
        <v>6.5213264228324119</v>
      </c>
    </row>
    <row r="16" spans="1:15" ht="15.75" x14ac:dyDescent="0.25">
      <c r="A16" s="6" t="s">
        <v>27</v>
      </c>
      <c r="B16" s="7">
        <f t="shared" ref="B16:J16" si="12">B6*B15/1000+B15</f>
        <v>5.1028581353559019E-2</v>
      </c>
      <c r="C16" s="7">
        <f t="shared" si="12"/>
        <v>0.37445854425007274</v>
      </c>
      <c r="D16" s="7">
        <f t="shared" si="12"/>
        <v>0.72319721999999997</v>
      </c>
      <c r="E16" s="7">
        <f t="shared" si="12"/>
        <v>0.95852934000000001</v>
      </c>
      <c r="F16" s="7">
        <f t="shared" si="12"/>
        <v>2.1440897359999997</v>
      </c>
      <c r="G16" s="7">
        <f t="shared" si="12"/>
        <v>0.82177996599999992</v>
      </c>
      <c r="H16" s="7">
        <f t="shared" si="12"/>
        <v>2.3943800079999997</v>
      </c>
      <c r="I16" s="7">
        <f t="shared" si="12"/>
        <v>5.0750148000000002E-2</v>
      </c>
      <c r="J16" s="7">
        <f t="shared" si="12"/>
        <v>5.0892220000000002E-2</v>
      </c>
      <c r="K16">
        <v>0.65</v>
      </c>
      <c r="L16" s="4">
        <f t="shared" si="1"/>
        <v>7.1668549831692894E+19</v>
      </c>
      <c r="M16" s="3"/>
      <c r="N16" s="4">
        <f t="shared" si="2"/>
        <v>2.3375010302894592E+19</v>
      </c>
      <c r="O16" s="3">
        <f t="shared" si="0"/>
        <v>7.1153655573291399</v>
      </c>
    </row>
    <row r="17" spans="1:15" ht="15.75" x14ac:dyDescent="0.25">
      <c r="A17" s="6" t="s">
        <v>28</v>
      </c>
      <c r="B17" s="7">
        <v>26.863700000000001</v>
      </c>
      <c r="C17" s="7">
        <v>17.932200000000002</v>
      </c>
      <c r="D17" s="7">
        <v>34.789000000000001</v>
      </c>
      <c r="E17" s="7">
        <v>27.1739</v>
      </c>
      <c r="F17" s="7">
        <v>17.932200000000002</v>
      </c>
      <c r="G17" s="7">
        <v>34.789000000000001</v>
      </c>
      <c r="H17" s="7">
        <v>27.1739</v>
      </c>
      <c r="I17" s="14">
        <v>26.5717</v>
      </c>
      <c r="J17" s="14">
        <v>26.187999999999999</v>
      </c>
      <c r="K17">
        <v>0.7</v>
      </c>
      <c r="L17" s="4">
        <f t="shared" si="1"/>
        <v>6.6145744161464467E+19</v>
      </c>
      <c r="M17" s="3"/>
      <c r="N17" s="4">
        <f t="shared" si="2"/>
        <v>2.5326695042087281E+19</v>
      </c>
      <c r="O17" s="3">
        <f t="shared" si="0"/>
        <v>7.7094594290352374</v>
      </c>
    </row>
    <row r="18" spans="1:15" ht="15.75" x14ac:dyDescent="0.25">
      <c r="A18" s="6" t="s">
        <v>29</v>
      </c>
      <c r="B18" s="7">
        <f t="shared" ref="B18:E18" si="13">(B5*B15/1000+B15)/((B5*B15/1000+B15)+1)</f>
        <v>4.8100974208730864E-2</v>
      </c>
      <c r="C18" s="7">
        <f t="shared" si="13"/>
        <v>4.8297773689710694E-2</v>
      </c>
      <c r="D18" s="7">
        <f t="shared" si="13"/>
        <v>4.8325940641658398E-2</v>
      </c>
      <c r="E18" s="7">
        <f t="shared" si="13"/>
        <v>4.834404192998288E-2</v>
      </c>
      <c r="F18" s="7">
        <f>(F5*F15/1000+F15)/((F5*F15/1000+F15)+1)</f>
        <v>4.8297773689710694E-2</v>
      </c>
      <c r="G18" s="7">
        <f>(G5*G15/1000+G15)/((G5*G15/1000+G15)+1)</f>
        <v>4.8325940641658398E-2</v>
      </c>
      <c r="H18" s="7">
        <f>(H5*H15/1000+H15)/((H5*H15/1000+H15)+1)</f>
        <v>4.834404192998288E-2</v>
      </c>
      <c r="I18" s="7">
        <f>(I5*I15/1000+I15)/((I5*I15/1000+I15)+1)</f>
        <v>4.8289776728781618E-2</v>
      </c>
      <c r="J18" s="7">
        <f>(J5*J15/1000+J15)/((J5*J15/1000+J15)+1)</f>
        <v>4.8289776728781618E-2</v>
      </c>
      <c r="K18">
        <v>0.75</v>
      </c>
      <c r="L18" s="4">
        <f t="shared" si="1"/>
        <v>6.1412813348227801E+19</v>
      </c>
      <c r="M18" s="3"/>
      <c r="N18" s="4">
        <f t="shared" si="2"/>
        <v>2.7278559625825694E+19</v>
      </c>
      <c r="O18" s="3">
        <f t="shared" si="0"/>
        <v>8.3036080455166204</v>
      </c>
    </row>
    <row r="19" spans="1:15" ht="15.75" x14ac:dyDescent="0.25">
      <c r="A19" s="6" t="s">
        <v>30</v>
      </c>
      <c r="B19" s="7">
        <f t="shared" ref="B19:E19" si="14">1-B18</f>
        <v>0.95189902579126917</v>
      </c>
      <c r="C19" s="7">
        <f t="shared" si="14"/>
        <v>0.95170222631028933</v>
      </c>
      <c r="D19" s="7">
        <f t="shared" si="14"/>
        <v>0.9516740593583416</v>
      </c>
      <c r="E19" s="7">
        <f t="shared" si="14"/>
        <v>0.95165595807001713</v>
      </c>
      <c r="F19" s="7">
        <f>1-F18</f>
        <v>0.95170222631028933</v>
      </c>
      <c r="G19" s="7">
        <f>1-G18</f>
        <v>0.9516740593583416</v>
      </c>
      <c r="H19" s="7">
        <f>1-H18</f>
        <v>0.95165595807001713</v>
      </c>
      <c r="I19" s="7">
        <f>1-I18</f>
        <v>0.95171022327121835</v>
      </c>
      <c r="J19" s="7">
        <f>1-J18</f>
        <v>0.95171022327121835</v>
      </c>
      <c r="K19">
        <v>0.8</v>
      </c>
      <c r="L19" s="4">
        <f t="shared" si="1"/>
        <v>5.7311613751924654E+19</v>
      </c>
      <c r="M19" s="3"/>
      <c r="N19" s="4">
        <f t="shared" si="2"/>
        <v>2.9230604078969549E+19</v>
      </c>
      <c r="O19" s="3">
        <f t="shared" si="0"/>
        <v>8.8978114143405982</v>
      </c>
    </row>
    <row r="20" spans="1:15" ht="15.75" x14ac:dyDescent="0.25">
      <c r="A20" s="6"/>
      <c r="G20" s="1"/>
      <c r="H20" s="1"/>
      <c r="K20">
        <v>0.85</v>
      </c>
      <c r="L20" s="4">
        <f t="shared" si="1"/>
        <v>5.3723577213795647E+19</v>
      </c>
      <c r="M20" s="3"/>
      <c r="N20" s="4">
        <f t="shared" si="2"/>
        <v>3.1182828426383127E+19</v>
      </c>
      <c r="O20" s="3">
        <f t="shared" si="0"/>
        <v>9.492069543075873</v>
      </c>
    </row>
    <row r="21" spans="1:15" ht="15.75" x14ac:dyDescent="0.25">
      <c r="A21" s="6"/>
      <c r="G21" s="1"/>
      <c r="H21" s="1"/>
      <c r="K21">
        <v>0.9</v>
      </c>
      <c r="L21" s="4">
        <f t="shared" si="1"/>
        <v>5.0558060244632338E+19</v>
      </c>
      <c r="M21" s="3"/>
      <c r="N21" s="4">
        <f t="shared" si="2"/>
        <v>3.313523269293534E+19</v>
      </c>
      <c r="O21" s="3">
        <f t="shared" si="0"/>
        <v>10.086382439292557</v>
      </c>
    </row>
    <row r="22" spans="1:15" ht="15.75" x14ac:dyDescent="0.25">
      <c r="A22" s="6"/>
      <c r="G22" s="1"/>
      <c r="H22" s="1"/>
      <c r="K22">
        <v>0.95</v>
      </c>
      <c r="L22" s="4">
        <f t="shared" si="1"/>
        <v>4.7744580271742353E+19</v>
      </c>
      <c r="M22" s="3"/>
      <c r="N22" s="4">
        <f t="shared" si="2"/>
        <v>3.5087816903499624E+19</v>
      </c>
      <c r="O22" s="3">
        <f t="shared" si="0"/>
        <v>10.680750110562132</v>
      </c>
    </row>
    <row r="23" spans="1:15" ht="15.75" x14ac:dyDescent="0.25">
      <c r="A23" s="6"/>
      <c r="G23" s="1"/>
      <c r="H23" s="1"/>
      <c r="K23">
        <v>1</v>
      </c>
      <c r="L23" s="4">
        <f t="shared" si="1"/>
        <v>4.5227505663518933E+19</v>
      </c>
      <c r="M23" s="3"/>
      <c r="N23" s="4">
        <f t="shared" si="2"/>
        <v>3.7040581082954039E+19</v>
      </c>
      <c r="O23" s="3">
        <f t="shared" si="0"/>
        <v>11.275172564457499</v>
      </c>
    </row>
    <row r="24" spans="1:15" ht="15.75" x14ac:dyDescent="0.25">
      <c r="A24" s="6" t="s">
        <v>31</v>
      </c>
      <c r="B24" s="4">
        <f>(B$9*B$8*(B$11-B$16*B$12))/(B$10*(B$16*B$19-B$18))</f>
        <v>4.894573260964194E+22</v>
      </c>
      <c r="C24" s="4">
        <f>(C9*C8*(C11-C16*C12))/(C10*(C16*C19-C18))</f>
        <v>1.1316622789316505E+20</v>
      </c>
      <c r="D24" s="4">
        <f>(D9*D8*(D11-D16*D12))/(D10*(D16*D19-D18))</f>
        <v>5.2214900946106016E+19</v>
      </c>
      <c r="E24" s="4">
        <f>($E$9*$E$8*($E$11-$E$16*$E$12))/($E$10*(E$16*$E$19-$E$18))</f>
        <v>4.7295583864715723E+19</v>
      </c>
      <c r="F24" s="4">
        <f>(F9*F8*(F11-F16*F12))/(F10*(F16*F19-F18))</f>
        <v>1.7471254203845153E+19</v>
      </c>
      <c r="G24" s="4">
        <f>(G9*G8*(G11-G16*G12))/(G10*(G16*G19-G18))</f>
        <v>4.553438540501255E+19</v>
      </c>
      <c r="H24" s="4">
        <f>(H9*H8*(H11-H16*H12))/(H10*(H16*H19-H18))</f>
        <v>1.8294565230038997E+19</v>
      </c>
      <c r="I24" s="4">
        <f>(I9*I8*(I11-I16*I12))/(I10*(I16*I19-I18))</f>
        <v>2.6608073859235567E+24</v>
      </c>
      <c r="J24" s="4">
        <f>(J9*J8*(J11-J16*J12))/(J10*(J16*J19-J18))</f>
        <v>2.0686542485590748E+23</v>
      </c>
      <c r="K24">
        <v>1.05</v>
      </c>
      <c r="L24" s="4">
        <f t="shared" si="1"/>
        <v>4.2962340021918794E+19</v>
      </c>
      <c r="M24" s="3"/>
      <c r="N24" s="4">
        <f t="shared" si="2"/>
        <v>3.8993525256181228E+19</v>
      </c>
      <c r="O24" s="3">
        <f t="shared" si="0"/>
        <v>11.869649808552941</v>
      </c>
    </row>
    <row r="25" spans="1:15" ht="15.75" x14ac:dyDescent="0.25">
      <c r="A25" s="6" t="s">
        <v>32</v>
      </c>
      <c r="B25" s="4">
        <f t="shared" ref="B25" si="15">1000*183.31*B24/(6.022*10^23)</f>
        <v>14899.10701539931</v>
      </c>
      <c r="C25" s="4">
        <f>1000*183.31*C24/(6.022*10^23)</f>
        <v>34.447859905506618</v>
      </c>
      <c r="D25" s="4">
        <f>1000*183.31*D24/(6.022*10^23)</f>
        <v>15.894243594205737</v>
      </c>
      <c r="E25" s="4">
        <f>1000*183.31*E$24/(6.022*10^23)</f>
        <v>14.396800860579608</v>
      </c>
      <c r="F25" s="4">
        <f>1000*183.31*F24/(6.022*10^23)</f>
        <v>5.3182590636115163</v>
      </c>
      <c r="G25" s="4">
        <f>1000*183.31*G24/(6.022*10^23)</f>
        <v>13.860691113571656</v>
      </c>
      <c r="H25" s="4">
        <f>1000*183.31*H24/(6.022*10^23)</f>
        <v>5.568875377479988</v>
      </c>
      <c r="I25" s="4">
        <f>1000*183.31*I$24/(6.022*10^23)</f>
        <v>809951.18218805583</v>
      </c>
      <c r="J25" s="4">
        <f>1000*183.31*J$24/(6.022*10^23)</f>
        <v>62969.945251305886</v>
      </c>
      <c r="K25">
        <v>1.1000000000000001</v>
      </c>
      <c r="L25" s="4">
        <f t="shared" si="1"/>
        <v>4.0913068915052929E+19</v>
      </c>
      <c r="M25" s="3">
        <f t="shared" ref="M25:M73" si="16">1000*183.31*L25/(6.022*10^23)</f>
        <v>12.453959918330044</v>
      </c>
      <c r="N25" s="4">
        <f t="shared" si="2"/>
        <v>4.0946649448068399E+19</v>
      </c>
      <c r="O25" s="3">
        <f t="shared" si="0"/>
        <v>12.464181850424142</v>
      </c>
    </row>
    <row r="26" spans="1:15" ht="15.75" x14ac:dyDescent="0.25">
      <c r="A26" s="6" t="s">
        <v>33</v>
      </c>
      <c r="B26" s="16">
        <f t="shared" ref="B26" si="17">100*B25/B17</f>
        <v>55461.857508084548</v>
      </c>
      <c r="C26" s="16">
        <f t="shared" ref="C26:D26" si="18">100*C25/C17</f>
        <v>192.10057832004225</v>
      </c>
      <c r="D26" s="16">
        <f t="shared" si="18"/>
        <v>45.687555245065212</v>
      </c>
      <c r="E26" s="16">
        <f t="shared" ref="E26:J26" si="19">100*E25/E17</f>
        <v>52.980252597454204</v>
      </c>
      <c r="F26" s="16">
        <f t="shared" si="19"/>
        <v>29.657593957303153</v>
      </c>
      <c r="G26" s="16">
        <f t="shared" si="19"/>
        <v>39.84216595352455</v>
      </c>
      <c r="H26" s="16">
        <f t="shared" si="19"/>
        <v>20.493471225992543</v>
      </c>
      <c r="I26" s="16">
        <f t="shared" si="19"/>
        <v>3048172.2365827397</v>
      </c>
      <c r="J26" s="16">
        <f t="shared" si="19"/>
        <v>240453.43382963911</v>
      </c>
      <c r="K26">
        <v>1.1499999999999999</v>
      </c>
      <c r="L26" s="4">
        <f t="shared" si="1"/>
        <v>3.905023075475669E+19</v>
      </c>
      <c r="M26" s="3">
        <f t="shared" si="16"/>
        <v>11.886910992451758</v>
      </c>
      <c r="N26" s="4">
        <f t="shared" si="2"/>
        <v>4.2899953683507347E+19</v>
      </c>
      <c r="O26" s="3"/>
    </row>
    <row r="27" spans="1:15" x14ac:dyDescent="0.25">
      <c r="A27" s="1" t="s">
        <v>34</v>
      </c>
      <c r="C27" s="1">
        <v>3</v>
      </c>
      <c r="D27" s="1">
        <v>19</v>
      </c>
      <c r="E27" s="1">
        <v>7</v>
      </c>
      <c r="F27" s="1">
        <v>3</v>
      </c>
      <c r="G27" s="1">
        <v>19</v>
      </c>
      <c r="H27" s="1">
        <v>7</v>
      </c>
      <c r="I27">
        <v>1</v>
      </c>
      <c r="J27">
        <v>1</v>
      </c>
      <c r="K27">
        <v>1.2</v>
      </c>
      <c r="L27" s="4">
        <f t="shared" si="1"/>
        <v>3.7349491273782501E+19</v>
      </c>
      <c r="M27" s="3">
        <f t="shared" si="16"/>
        <v>11.3692049906959</v>
      </c>
      <c r="N27" s="4">
        <f t="shared" si="2"/>
        <v>4.4853437987394519E+19</v>
      </c>
      <c r="O27" s="3"/>
    </row>
    <row r="28" spans="1:15" x14ac:dyDescent="0.25">
      <c r="K28">
        <v>1.25</v>
      </c>
      <c r="L28" s="4">
        <f t="shared" si="1"/>
        <v>3.5790574621414846E+19</v>
      </c>
      <c r="M28" s="3">
        <f t="shared" si="16"/>
        <v>10.894669933330382</v>
      </c>
      <c r="N28" s="4">
        <f t="shared" si="2"/>
        <v>4.6807102384630874E+19</v>
      </c>
      <c r="O28" s="3"/>
    </row>
    <row r="29" spans="1:15" x14ac:dyDescent="0.25">
      <c r="K29">
        <v>1.3</v>
      </c>
      <c r="L29" s="4">
        <f t="shared" si="1"/>
        <v>3.4356451160408953E+19</v>
      </c>
      <c r="M29" s="3">
        <f t="shared" si="16"/>
        <v>10.458121989728603</v>
      </c>
      <c r="N29" s="4">
        <f t="shared" si="2"/>
        <v>4.8760946900122001E+19</v>
      </c>
      <c r="O29" s="3"/>
    </row>
    <row r="30" spans="1:15" x14ac:dyDescent="0.25">
      <c r="K30">
        <v>1.35</v>
      </c>
      <c r="L30" s="4">
        <f t="shared" si="1"/>
        <v>3.3032712810806501E+19</v>
      </c>
      <c r="M30" s="3">
        <f t="shared" si="16"/>
        <v>10.055175332695018</v>
      </c>
      <c r="N30" s="4">
        <f t="shared" si="2"/>
        <v>5.0714971558778077E+19</v>
      </c>
      <c r="O30" s="3"/>
    </row>
    <row r="31" spans="1:15" x14ac:dyDescent="0.25">
      <c r="K31">
        <v>1.4</v>
      </c>
      <c r="L31" s="4">
        <f t="shared" si="1"/>
        <v>3.1807087288535945E+19</v>
      </c>
      <c r="M31" s="3">
        <f t="shared" si="16"/>
        <v>9.6820942724369381</v>
      </c>
      <c r="N31" s="4">
        <f t="shared" si="2"/>
        <v>5.2669176385513873E+19</v>
      </c>
      <c r="O31" s="3"/>
    </row>
    <row r="32" spans="1:15" x14ac:dyDescent="0.25">
      <c r="K32">
        <v>1.45</v>
      </c>
      <c r="L32" s="4">
        <f t="shared" si="1"/>
        <v>3.0669056495250088E+19</v>
      </c>
      <c r="M32" s="3">
        <f t="shared" si="16"/>
        <v>9.335677094228318</v>
      </c>
      <c r="N32" s="4">
        <f t="shared" si="2"/>
        <v>5.4623561405248741E+19</v>
      </c>
      <c r="O32" s="3"/>
    </row>
    <row r="33" spans="1:15" x14ac:dyDescent="0.25">
      <c r="A33" s="1" t="s">
        <v>35</v>
      </c>
      <c r="C33" s="1" t="s">
        <v>36</v>
      </c>
      <c r="D33" s="1" t="s">
        <v>36</v>
      </c>
      <c r="E33" s="1" t="s">
        <v>36</v>
      </c>
      <c r="F33" s="1" t="s">
        <v>37</v>
      </c>
      <c r="G33" s="1" t="s">
        <v>37</v>
      </c>
      <c r="H33" s="1" t="s">
        <v>37</v>
      </c>
      <c r="I33" s="1" t="s">
        <v>37</v>
      </c>
      <c r="J33" s="1" t="s">
        <v>37</v>
      </c>
      <c r="K33">
        <v>1.5</v>
      </c>
      <c r="L33" s="4">
        <f t="shared" si="1"/>
        <v>2.9609553905570439E+19</v>
      </c>
      <c r="M33" s="3">
        <f t="shared" si="16"/>
        <v>9.0131639429261341</v>
      </c>
      <c r="N33" s="4">
        <f t="shared" si="2"/>
        <v>5.6578126642906661E+19</v>
      </c>
      <c r="O33" s="3"/>
    </row>
    <row r="34" spans="1:15" x14ac:dyDescent="0.25">
      <c r="A34" s="1" t="s">
        <v>38</v>
      </c>
      <c r="C34" s="1">
        <f>C27*24*60*60</f>
        <v>259200</v>
      </c>
      <c r="D34" s="1">
        <f t="shared" ref="D34:J34" si="20">D27*24*60*60</f>
        <v>1641600</v>
      </c>
      <c r="E34" s="1">
        <f t="shared" si="20"/>
        <v>604800</v>
      </c>
      <c r="F34" s="1">
        <f t="shared" si="20"/>
        <v>259200</v>
      </c>
      <c r="G34" s="1">
        <f t="shared" si="20"/>
        <v>1641600</v>
      </c>
      <c r="H34" s="1">
        <f t="shared" si="20"/>
        <v>604800</v>
      </c>
      <c r="I34" s="1">
        <f t="shared" si="20"/>
        <v>86400</v>
      </c>
      <c r="J34" s="1">
        <f t="shared" si="20"/>
        <v>86400</v>
      </c>
      <c r="K34">
        <v>1.55</v>
      </c>
      <c r="L34" s="4">
        <f t="shared" si="1"/>
        <v>2.8620722509175284E+19</v>
      </c>
      <c r="M34" s="3">
        <f t="shared" si="16"/>
        <v>8.7121631404133542</v>
      </c>
      <c r="N34" s="4">
        <f t="shared" si="2"/>
        <v>5.8532872123416175E+19</v>
      </c>
      <c r="O34" s="3"/>
    </row>
    <row r="35" spans="1:15" x14ac:dyDescent="0.25">
      <c r="A35" s="1" t="s">
        <v>39</v>
      </c>
      <c r="C35" s="17">
        <f>C25/(1000*183.3)</f>
        <v>1.8793158704586262E-4</v>
      </c>
      <c r="D35" s="17">
        <f t="shared" ref="D35:J35" si="21">D25/(1000*183.3)</f>
        <v>8.6711639902922727E-5</v>
      </c>
      <c r="E35" s="17">
        <f t="shared" si="21"/>
        <v>7.8542285109545057E-5</v>
      </c>
      <c r="F35" s="17">
        <f t="shared" si="21"/>
        <v>2.9013961067165939E-5</v>
      </c>
      <c r="G35" s="17">
        <f t="shared" si="21"/>
        <v>7.5617518350090869E-5</v>
      </c>
      <c r="H35" s="17">
        <f t="shared" si="21"/>
        <v>3.0381207733115045E-5</v>
      </c>
      <c r="I35" s="17">
        <f t="shared" si="21"/>
        <v>4.4187189426516955</v>
      </c>
      <c r="J35" s="17">
        <f t="shared" si="21"/>
        <v>0.34353488953249256</v>
      </c>
      <c r="K35">
        <v>1.6</v>
      </c>
      <c r="L35" s="4">
        <f t="shared" si="1"/>
        <v>2.7695719626996634E+19</v>
      </c>
      <c r="M35" s="3">
        <f t="shared" si="16"/>
        <v>8.430591771545588</v>
      </c>
      <c r="N35" s="4">
        <f t="shared" si="2"/>
        <v>6.0487797871710437E+19</v>
      </c>
      <c r="O35" s="3"/>
    </row>
    <row r="36" spans="1:15" x14ac:dyDescent="0.25">
      <c r="A36" s="1" t="s">
        <v>40</v>
      </c>
      <c r="C36" s="1">
        <f>120*0.000001</f>
        <v>1.1999999999999999E-4</v>
      </c>
      <c r="D36" s="1">
        <f t="shared" ref="D36:J36" si="22">120*0.000001</f>
        <v>1.1999999999999999E-4</v>
      </c>
      <c r="E36" s="1">
        <f t="shared" si="22"/>
        <v>1.1999999999999999E-4</v>
      </c>
      <c r="F36" s="1">
        <f t="shared" si="22"/>
        <v>1.1999999999999999E-4</v>
      </c>
      <c r="G36" s="1">
        <f t="shared" si="22"/>
        <v>1.1999999999999999E-4</v>
      </c>
      <c r="H36" s="1">
        <f t="shared" si="22"/>
        <v>1.1999999999999999E-4</v>
      </c>
      <c r="I36" s="1">
        <f t="shared" si="22"/>
        <v>1.1999999999999999E-4</v>
      </c>
      <c r="J36" s="1">
        <f t="shared" si="22"/>
        <v>1.1999999999999999E-4</v>
      </c>
      <c r="K36">
        <v>1.65</v>
      </c>
      <c r="L36" s="4">
        <f t="shared" si="1"/>
        <v>2.6828558342685987E+19</v>
      </c>
      <c r="M36" s="3">
        <f t="shared" si="16"/>
        <v>8.1666274158049958</v>
      </c>
      <c r="N36" s="4">
        <f t="shared" si="2"/>
        <v>6.2442903912727175E+19</v>
      </c>
      <c r="O36" s="3"/>
    </row>
    <row r="37" spans="1:15" x14ac:dyDescent="0.25">
      <c r="A37" s="1" t="s">
        <v>41</v>
      </c>
      <c r="C37" s="17">
        <f>C35/(C36*C34)</f>
        <v>6.0420391925753164E-6</v>
      </c>
      <c r="D37" s="17">
        <f t="shared" ref="D37:J37" si="23">D35/(D36*D34)</f>
        <v>4.4017848391266007E-7</v>
      </c>
      <c r="E37" s="17">
        <f t="shared" si="23"/>
        <v>1.0822074116725235E-6</v>
      </c>
      <c r="F37" s="17">
        <f t="shared" si="23"/>
        <v>9.3280481826022196E-7</v>
      </c>
      <c r="G37" s="17">
        <f t="shared" si="23"/>
        <v>3.838608590708804E-7</v>
      </c>
      <c r="H37" s="17">
        <f t="shared" si="23"/>
        <v>4.1861231995584006E-7</v>
      </c>
      <c r="I37" s="17">
        <f t="shared" si="23"/>
        <v>0.42618816962304168</v>
      </c>
      <c r="J37" s="17">
        <f t="shared" si="23"/>
        <v>3.3134152153982695E-2</v>
      </c>
      <c r="K37">
        <v>1.7</v>
      </c>
      <c r="L37" s="4">
        <f t="shared" si="1"/>
        <v>2.601397777870642E+19</v>
      </c>
      <c r="M37" s="3">
        <f t="shared" si="16"/>
        <v>7.9186686592737869</v>
      </c>
      <c r="N37" s="4">
        <f t="shared" si="2"/>
        <v>6.4398190271408775E+19</v>
      </c>
      <c r="O37" s="3"/>
    </row>
    <row r="38" spans="1:15" x14ac:dyDescent="0.25">
      <c r="A38" s="1" t="s">
        <v>33</v>
      </c>
      <c r="B38" s="1">
        <v>27730.928754042274</v>
      </c>
      <c r="C38" s="1">
        <v>96.050289160021123</v>
      </c>
      <c r="D38" s="1">
        <v>17.252728465358807</v>
      </c>
      <c r="E38" s="1">
        <v>26.490245899029279</v>
      </c>
      <c r="F38" s="1">
        <v>14.828796978651576</v>
      </c>
      <c r="G38">
        <v>19.921082976762275</v>
      </c>
      <c r="H38">
        <v>10.246735612996272</v>
      </c>
      <c r="I38">
        <v>1524086.1182913699</v>
      </c>
      <c r="J38">
        <v>120226.71691481957</v>
      </c>
      <c r="K38">
        <v>1.75</v>
      </c>
      <c r="L38" s="4">
        <f t="shared" si="1"/>
        <v>2.524733627565595E+19</v>
      </c>
      <c r="M38" s="3">
        <f t="shared" si="16"/>
        <v>7.6853025783634878</v>
      </c>
      <c r="N38" s="4">
        <f t="shared" si="2"/>
        <v>6.6353656972702212E+19</v>
      </c>
      <c r="O38" s="3"/>
    </row>
    <row r="39" spans="1:15" x14ac:dyDescent="0.25">
      <c r="L39" s="4"/>
      <c r="M39" s="3"/>
      <c r="N39" s="4"/>
      <c r="O39" s="3"/>
    </row>
    <row r="40" spans="1:15" x14ac:dyDescent="0.25">
      <c r="A40" s="1" t="s">
        <v>42</v>
      </c>
      <c r="C40" s="1" t="s">
        <v>43</v>
      </c>
      <c r="D40" s="1" t="s">
        <v>43</v>
      </c>
      <c r="E40" s="1" t="s">
        <v>43</v>
      </c>
      <c r="F40" s="1" t="s">
        <v>43</v>
      </c>
      <c r="G40" s="1" t="s">
        <v>43</v>
      </c>
      <c r="H40" s="1" t="s">
        <v>43</v>
      </c>
      <c r="I40" s="1" t="s">
        <v>44</v>
      </c>
      <c r="J40" s="1" t="s">
        <v>44</v>
      </c>
      <c r="K40">
        <v>1.8</v>
      </c>
      <c r="L40" s="4">
        <f t="shared" ref="L40:L45" si="24">($E$9*$E$8*($E$11-$K40*$E$12))/($E$10*($K40*$E$19-$E$18))</f>
        <v>2.4524522892081021E+19</v>
      </c>
      <c r="M40" s="3">
        <f t="shared" si="16"/>
        <v>7.4652778003111457</v>
      </c>
      <c r="N40" s="4">
        <f t="shared" ref="N40:N45" si="25">($E$9*$E$8*($E$18-$K40*$E$19))/($E$10*($K40*$E$12-$E$11))</f>
        <v>6.8309304041558983E+19</v>
      </c>
      <c r="O40" s="3"/>
    </row>
    <row r="41" spans="1:15" x14ac:dyDescent="0.25">
      <c r="A41" s="1" t="s">
        <v>35</v>
      </c>
      <c r="C41" s="1" t="s">
        <v>36</v>
      </c>
      <c r="D41" s="1" t="s">
        <v>37</v>
      </c>
      <c r="E41" s="1" t="s">
        <v>36</v>
      </c>
      <c r="F41" t="s">
        <v>37</v>
      </c>
      <c r="G41" s="1" t="s">
        <v>36</v>
      </c>
      <c r="H41" t="s">
        <v>37</v>
      </c>
      <c r="I41" t="s">
        <v>37</v>
      </c>
      <c r="J41" t="s">
        <v>37</v>
      </c>
      <c r="K41">
        <v>1.85</v>
      </c>
      <c r="L41" s="4">
        <f t="shared" si="24"/>
        <v>2.384188366087884E+19</v>
      </c>
      <c r="M41" s="3">
        <f t="shared" si="16"/>
        <v>7.2574820555890076</v>
      </c>
      <c r="N41" s="4">
        <f t="shared" si="25"/>
        <v>7.0265131502935278E+19</v>
      </c>
      <c r="O41" s="3"/>
    </row>
    <row r="42" spans="1:15" x14ac:dyDescent="0.25">
      <c r="A42" s="1" t="s">
        <v>38</v>
      </c>
      <c r="C42" s="1">
        <v>259200</v>
      </c>
      <c r="D42" s="1">
        <v>259200</v>
      </c>
      <c r="E42" s="1">
        <v>1641600</v>
      </c>
      <c r="F42">
        <v>1641600</v>
      </c>
      <c r="G42" s="1">
        <v>604800</v>
      </c>
      <c r="H42">
        <v>604800</v>
      </c>
      <c r="I42">
        <v>86400</v>
      </c>
      <c r="J42">
        <v>86400</v>
      </c>
      <c r="K42">
        <v>1.9</v>
      </c>
      <c r="L42" s="4">
        <f t="shared" si="24"/>
        <v>2.3196159809293943E+19</v>
      </c>
      <c r="M42" s="3">
        <f t="shared" si="16"/>
        <v>7.0609233720386468</v>
      </c>
      <c r="N42" s="4">
        <f t="shared" si="25"/>
        <v>7.222113938179185E+19</v>
      </c>
      <c r="O42" s="3"/>
    </row>
    <row r="43" spans="1:15" x14ac:dyDescent="0.25">
      <c r="A43" s="1" t="s">
        <v>39</v>
      </c>
      <c r="C43" s="18">
        <v>9.3965793522931309E-5</v>
      </c>
      <c r="D43" s="18">
        <v>1.4506980533582969E-5</v>
      </c>
      <c r="E43" s="18">
        <v>3.274441738032557E-5</v>
      </c>
      <c r="F43" s="19">
        <v>3.7808759175045434E-5</v>
      </c>
      <c r="G43" s="18">
        <v>3.9271319860099931E-5</v>
      </c>
      <c r="H43" s="19">
        <v>1.5190603866557522E-5</v>
      </c>
      <c r="I43" s="19">
        <v>2.2093594713258478</v>
      </c>
      <c r="J43" s="19">
        <v>0.17176744476624631</v>
      </c>
      <c r="K43">
        <v>1.95</v>
      </c>
      <c r="L43" s="4">
        <f t="shared" si="24"/>
        <v>2.2584435737760575E+19</v>
      </c>
      <c r="M43" s="3">
        <f t="shared" si="16"/>
        <v>6.874714239602941</v>
      </c>
      <c r="N43" s="4">
        <f t="shared" si="25"/>
        <v>7.41773277030941E+19</v>
      </c>
      <c r="O43" s="3"/>
    </row>
    <row r="44" spans="1:15" x14ac:dyDescent="0.25">
      <c r="A44" s="1" t="s">
        <v>41</v>
      </c>
      <c r="C44" s="18">
        <v>3.0210195962876582E-6</v>
      </c>
      <c r="D44" s="18">
        <v>4.6640240913011098E-7</v>
      </c>
      <c r="E44" s="18">
        <v>1.6622206678609067E-7</v>
      </c>
      <c r="F44" s="19">
        <v>1.919304295354402E-7</v>
      </c>
      <c r="G44" s="18">
        <v>5.4110614886601544E-7</v>
      </c>
      <c r="H44" s="19">
        <v>2.0930615997792003E-7</v>
      </c>
      <c r="I44" s="19">
        <v>0.21309408481152084</v>
      </c>
      <c r="J44" s="19">
        <v>1.6567076076991351E-2</v>
      </c>
      <c r="K44">
        <v>2</v>
      </c>
      <c r="L44" s="4">
        <f t="shared" si="24"/>
        <v>2.2004095005284635E+19</v>
      </c>
      <c r="M44" s="3">
        <f t="shared" si="16"/>
        <v>6.6980582122529508</v>
      </c>
      <c r="N44" s="4">
        <f t="shared" si="25"/>
        <v>7.6133696491811946E+19</v>
      </c>
      <c r="O44" s="3"/>
    </row>
    <row r="45" spans="1:15" x14ac:dyDescent="0.25">
      <c r="A45" s="1" t="s">
        <v>33</v>
      </c>
      <c r="B45" s="20"/>
      <c r="C45" s="20">
        <v>96.050289160021123</v>
      </c>
      <c r="D45" s="20">
        <v>17.252728465358807</v>
      </c>
      <c r="E45" s="20">
        <v>26.490245899029279</v>
      </c>
      <c r="F45" s="20">
        <v>14.828796978651576</v>
      </c>
      <c r="G45" s="21">
        <v>19.921082976762275</v>
      </c>
      <c r="H45" s="21">
        <v>10.246735612996272</v>
      </c>
      <c r="I45" s="21" t="s">
        <v>45</v>
      </c>
      <c r="J45" s="21" t="s">
        <v>45</v>
      </c>
      <c r="K45">
        <v>2.0499999999999998</v>
      </c>
      <c r="L45" s="4">
        <f t="shared" si="24"/>
        <v>2.1452782919659815E+19</v>
      </c>
      <c r="M45" s="3">
        <f t="shared" si="16"/>
        <v>6.5302385204298261</v>
      </c>
      <c r="N45" s="4">
        <f t="shared" si="25"/>
        <v>7.8090245772920029E+19</v>
      </c>
      <c r="O45" s="3"/>
    </row>
    <row r="46" spans="1:15" x14ac:dyDescent="0.25">
      <c r="K46">
        <v>2.1</v>
      </c>
      <c r="L46" s="4">
        <f t="shared" si="1"/>
        <v>2.0928374604423401E+19</v>
      </c>
      <c r="M46" s="3">
        <f t="shared" si="16"/>
        <v>6.3706083506091895</v>
      </c>
      <c r="N46" s="4">
        <f t="shared" si="2"/>
        <v>8.0046975571397509E+19</v>
      </c>
      <c r="O46" s="3"/>
    </row>
    <row r="47" spans="1:15" x14ac:dyDescent="0.25">
      <c r="K47">
        <v>2.15</v>
      </c>
      <c r="L47" s="4">
        <f t="shared" si="1"/>
        <v>2.0428947629413835E+19</v>
      </c>
      <c r="M47" s="3">
        <f t="shared" si="16"/>
        <v>6.2185825140283129</v>
      </c>
      <c r="N47" s="4">
        <f t="shared" si="2"/>
        <v>8.2003885912228168E+19</v>
      </c>
      <c r="O47" s="3"/>
    </row>
    <row r="48" spans="1:15" x14ac:dyDescent="0.25">
      <c r="K48">
        <v>2.2000000000000002</v>
      </c>
      <c r="L48" s="4">
        <f t="shared" si="1"/>
        <v>1.9952758461741601E+19</v>
      </c>
      <c r="M48" s="3">
        <f t="shared" si="16"/>
        <v>6.0736302783491416</v>
      </c>
      <c r="N48" s="4">
        <f t="shared" si="2"/>
        <v>8.3960976820400472E+19</v>
      </c>
      <c r="O48" s="3"/>
    </row>
    <row r="49" spans="11:15" x14ac:dyDescent="0.25">
      <c r="K49">
        <v>2.25</v>
      </c>
      <c r="L49" s="4">
        <f t="shared" si="1"/>
        <v>1.9498222129159483E+19</v>
      </c>
      <c r="M49" s="3">
        <f t="shared" si="16"/>
        <v>5.9352691771773918</v>
      </c>
      <c r="N49" s="4">
        <f t="shared" si="2"/>
        <v>8.5918248320907379E+19</v>
      </c>
      <c r="O49" s="3"/>
    </row>
    <row r="50" spans="11:15" x14ac:dyDescent="0.25">
      <c r="K50">
        <v>2.2999999999999998</v>
      </c>
      <c r="L50" s="4">
        <f t="shared" si="1"/>
        <v>1.9063894595947663E+19</v>
      </c>
      <c r="M50" s="3">
        <f t="shared" si="16"/>
        <v>5.8030596452726115</v>
      </c>
      <c r="N50" s="4">
        <f t="shared" si="2"/>
        <v>8.787570043874653E+19</v>
      </c>
      <c r="O50" s="3"/>
    </row>
    <row r="51" spans="11:15" x14ac:dyDescent="0.25">
      <c r="K51">
        <v>2.35</v>
      </c>
      <c r="L51" s="4">
        <f t="shared" si="1"/>
        <v>1.8648457438396281E+19</v>
      </c>
      <c r="M51" s="3">
        <f t="shared" si="16"/>
        <v>5.6766003537569283</v>
      </c>
      <c r="N51" s="4">
        <f t="shared" si="2"/>
        <v>8.9833333198920253E+19</v>
      </c>
      <c r="O51" s="3"/>
    </row>
    <row r="52" spans="11:15" x14ac:dyDescent="0.25">
      <c r="K52">
        <v>2.4</v>
      </c>
      <c r="L52" s="4">
        <f t="shared" si="1"/>
        <v>1.8250704477275511E+19</v>
      </c>
      <c r="M52" s="3">
        <f t="shared" si="16"/>
        <v>5.5555241410318406</v>
      </c>
      <c r="N52" s="4">
        <f t="shared" si="2"/>
        <v>9.1791146626435334E+19</v>
      </c>
      <c r="O52" s="3"/>
    </row>
    <row r="53" spans="11:15" x14ac:dyDescent="0.25">
      <c r="K53">
        <v>2.4500000000000002</v>
      </c>
      <c r="L53" s="4">
        <f t="shared" si="1"/>
        <v>1.7869530081803923E+19</v>
      </c>
      <c r="M53" s="3">
        <f t="shared" si="16"/>
        <v>5.4394944524999627</v>
      </c>
      <c r="N53" s="4">
        <f t="shared" si="2"/>
        <v>9.3749140746303259E+19</v>
      </c>
      <c r="O53" s="3"/>
    </row>
    <row r="54" spans="11:15" x14ac:dyDescent="0.25">
      <c r="K54">
        <v>2.5</v>
      </c>
      <c r="L54" s="4">
        <f t="shared" si="1"/>
        <v>1.7503918906251801E+19</v>
      </c>
      <c r="M54" s="3">
        <f t="shared" si="16"/>
        <v>5.3282022163816301</v>
      </c>
      <c r="N54" s="4">
        <f t="shared" si="2"/>
        <v>9.5707315583540134E+19</v>
      </c>
      <c r="O54" s="3"/>
    </row>
    <row r="55" spans="11:15" x14ac:dyDescent="0.25">
      <c r="K55">
        <v>2.5499999999999998</v>
      </c>
      <c r="L55" s="4">
        <f t="shared" si="1"/>
        <v>1.7152936858546209E+19</v>
      </c>
      <c r="M55" s="3">
        <f t="shared" si="16"/>
        <v>5.2213630945534808</v>
      </c>
      <c r="N55" s="4">
        <f t="shared" si="2"/>
        <v>9.7665671163166704E+19</v>
      </c>
      <c r="O55" s="3"/>
    </row>
    <row r="56" spans="11:15" x14ac:dyDescent="0.25">
      <c r="K56">
        <v>2.6</v>
      </c>
      <c r="L56" s="4">
        <f t="shared" si="1"/>
        <v>1.6815723131726559E+19</v>
      </c>
      <c r="M56" s="3">
        <f t="shared" si="16"/>
        <v>5.1187150569192896</v>
      </c>
      <c r="N56" s="4">
        <f t="shared" si="2"/>
        <v>9.9624207510208266E+19</v>
      </c>
      <c r="O56" s="3"/>
    </row>
    <row r="57" spans="11:15" x14ac:dyDescent="0.25">
      <c r="K57">
        <v>2.65</v>
      </c>
      <c r="L57" s="4">
        <f t="shared" si="1"/>
        <v>1.6491483155130532E+19</v>
      </c>
      <c r="M57" s="3">
        <f t="shared" si="16"/>
        <v>5.0200162357472236</v>
      </c>
      <c r="N57" s="4">
        <f t="shared" si="2"/>
        <v>1.0158292464969481E+20</v>
      </c>
      <c r="O57" s="3"/>
    </row>
    <row r="58" spans="11:15" x14ac:dyDescent="0.25">
      <c r="K58">
        <v>2.7</v>
      </c>
      <c r="L58" s="4">
        <f t="shared" si="1"/>
        <v>1.6179482343799951E+19</v>
      </c>
      <c r="M58" s="3">
        <f t="shared" si="16"/>
        <v>4.9250430229856681</v>
      </c>
      <c r="N58" s="4">
        <f t="shared" si="2"/>
        <v>1.0354182260666085E+20</v>
      </c>
      <c r="O58" s="3"/>
    </row>
    <row r="59" spans="11:15" x14ac:dyDescent="0.25">
      <c r="K59">
        <v>2.75</v>
      </c>
      <c r="L59" s="4">
        <f t="shared" si="1"/>
        <v>1.5879040542602879E+19</v>
      </c>
      <c r="M59" s="3">
        <f t="shared" si="16"/>
        <v>4.8335883790510366</v>
      </c>
      <c r="N59" s="4">
        <f t="shared" si="2"/>
        <v>1.0550090140614564E+20</v>
      </c>
      <c r="O59" s="3"/>
    </row>
    <row r="60" spans="11:15" x14ac:dyDescent="0.25">
      <c r="K60">
        <v>2.8</v>
      </c>
      <c r="L60" s="4">
        <f t="shared" si="1"/>
        <v>1.5589527076627888E+19</v>
      </c>
      <c r="M60" s="3">
        <f t="shared" si="16"/>
        <v>4.7454603261651584</v>
      </c>
      <c r="N60" s="4">
        <f t="shared" si="2"/>
        <v>1.0746016107319298E+20</v>
      </c>
      <c r="O60" s="3"/>
    </row>
    <row r="61" spans="11:15" x14ac:dyDescent="0.25">
      <c r="K61">
        <v>2.85</v>
      </c>
      <c r="L61" s="4">
        <f t="shared" si="1"/>
        <v>1.531035633204472E+19</v>
      </c>
      <c r="M61" s="3">
        <f t="shared" si="16"/>
        <v>4.660480603166917</v>
      </c>
      <c r="N61" s="4">
        <f t="shared" si="2"/>
        <v>1.094196016328513E+20</v>
      </c>
      <c r="O61" s="3"/>
    </row>
    <row r="62" spans="11:15" x14ac:dyDescent="0.25">
      <c r="K62">
        <v>2.9</v>
      </c>
      <c r="L62" s="4">
        <f t="shared" si="1"/>
        <v>1.5040983802268174E+19</v>
      </c>
      <c r="M62" s="3">
        <f t="shared" si="16"/>
        <v>4.5784834619624366</v>
      </c>
      <c r="N62" s="4">
        <f t="shared" si="2"/>
        <v>1.1137922311017372E+20</v>
      </c>
      <c r="O62" s="3"/>
    </row>
    <row r="63" spans="11:15" x14ac:dyDescent="0.25">
      <c r="K63">
        <v>2.95</v>
      </c>
      <c r="L63" s="4">
        <f t="shared" si="1"/>
        <v>1.4780902543252308E+19</v>
      </c>
      <c r="M63" s="3">
        <f t="shared" si="16"/>
        <v>4.4993145885147472</v>
      </c>
      <c r="N63" s="4">
        <f t="shared" si="2"/>
        <v>1.1333902553021789E+20</v>
      </c>
      <c r="O63" s="3"/>
    </row>
    <row r="64" spans="11:15" x14ac:dyDescent="0.25">
      <c r="K64">
        <v>3</v>
      </c>
      <c r="L64" s="4">
        <f t="shared" si="1"/>
        <v>1.4529639989361019E+19</v>
      </c>
      <c r="M64" s="3">
        <f t="shared" si="16"/>
        <v>4.4228301335931066</v>
      </c>
      <c r="N64" s="4">
        <f t="shared" si="2"/>
        <v>1.1529900891804611E+20</v>
      </c>
      <c r="O64" s="3"/>
    </row>
    <row r="65" spans="11:15" x14ac:dyDescent="0.25">
      <c r="K65">
        <v>4</v>
      </c>
      <c r="L65" s="4">
        <f t="shared" si="1"/>
        <v>1.084048572060048E+19</v>
      </c>
      <c r="M65" s="3">
        <f t="shared" si="16"/>
        <v>3.2998496138214448</v>
      </c>
      <c r="N65" s="4">
        <f t="shared" si="2"/>
        <v>1.5453671854627373E+20</v>
      </c>
      <c r="O65" s="3"/>
    </row>
    <row r="66" spans="11:15" x14ac:dyDescent="0.25">
      <c r="K66">
        <v>5</v>
      </c>
      <c r="L66" s="4">
        <f t="shared" si="1"/>
        <v>8.6421397463195699E+18</v>
      </c>
      <c r="M66" s="3">
        <f t="shared" si="16"/>
        <v>2.6306719310824316</v>
      </c>
      <c r="N66" s="4">
        <f t="shared" si="2"/>
        <v>1.9384702630188043E+20</v>
      </c>
      <c r="O66" s="3"/>
    </row>
    <row r="67" spans="11:15" x14ac:dyDescent="0.25">
      <c r="K67">
        <v>6</v>
      </c>
      <c r="L67" s="4">
        <f t="shared" si="1"/>
        <v>7.1828329514006897E+18</v>
      </c>
      <c r="M67" s="3">
        <f t="shared" si="16"/>
        <v>2.1864581672554975</v>
      </c>
      <c r="N67" s="4">
        <f t="shared" si="2"/>
        <v>2.3323013385444983E+20</v>
      </c>
      <c r="O67" s="3"/>
    </row>
    <row r="68" spans="11:15" x14ac:dyDescent="0.25">
      <c r="K68">
        <v>7</v>
      </c>
      <c r="L68" s="4">
        <f t="shared" si="1"/>
        <v>6.1435188972584346E+18</v>
      </c>
      <c r="M68" s="3">
        <f t="shared" si="16"/>
        <v>1.8700904168987775</v>
      </c>
      <c r="N68" s="4">
        <f t="shared" si="2"/>
        <v>2.7268624362121249E+20</v>
      </c>
      <c r="O68" s="3"/>
    </row>
    <row r="69" spans="11:15" x14ac:dyDescent="0.25">
      <c r="K69">
        <v>8</v>
      </c>
      <c r="L69" s="4">
        <f t="shared" si="1"/>
        <v>5.3656938088107612E+18</v>
      </c>
      <c r="M69" s="3">
        <f t="shared" si="16"/>
        <v>1.6333200466507816</v>
      </c>
      <c r="N69" s="4">
        <f t="shared" si="2"/>
        <v>3.1221555877051335E+20</v>
      </c>
      <c r="O69" s="3"/>
    </row>
    <row r="70" spans="11:15" x14ac:dyDescent="0.25">
      <c r="K70">
        <v>9</v>
      </c>
      <c r="L70" s="4">
        <f t="shared" si="1"/>
        <v>4.7616999189224274E+18</v>
      </c>
      <c r="M70" s="3">
        <f t="shared" si="16"/>
        <v>1.4494639856155267</v>
      </c>
      <c r="N70" s="4">
        <f t="shared" si="2"/>
        <v>3.5181828322529942E+20</v>
      </c>
      <c r="O70" s="3"/>
    </row>
    <row r="71" spans="11:15" x14ac:dyDescent="0.25">
      <c r="K71">
        <v>10</v>
      </c>
      <c r="L71" s="4">
        <f t="shared" ref="L71:L73" si="26">($E$9*$E$8*($E$11-$K71*$E$12))/($E$10*($K71*$E$19-$E$18))</f>
        <v>4.2791215970672604E+18</v>
      </c>
      <c r="M71" s="3">
        <f t="shared" si="16"/>
        <v>1.3025668880079699</v>
      </c>
      <c r="N71" s="4">
        <f t="shared" ref="N71:N73" si="27">($E$9*$E$8*($E$18-$K71*$E$19))/($E$10*($K71*$E$12-$E$11))</f>
        <v>3.9149462166662611E+20</v>
      </c>
      <c r="O71" s="3"/>
    </row>
    <row r="72" spans="11:15" x14ac:dyDescent="0.25">
      <c r="K72">
        <v>100</v>
      </c>
      <c r="L72" s="4">
        <f t="shared" si="26"/>
        <v>3.9032512876061414E+17</v>
      </c>
      <c r="M72" s="3">
        <f t="shared" si="16"/>
        <v>0.11881517660761903</v>
      </c>
      <c r="N72" s="4">
        <f t="shared" si="27"/>
        <v>4.2919427094758388E+21</v>
      </c>
      <c r="O72" s="3"/>
    </row>
    <row r="73" spans="11:15" x14ac:dyDescent="0.25">
      <c r="K73">
        <v>1000</v>
      </c>
      <c r="L73" s="4">
        <f t="shared" si="26"/>
        <v>3401331540462189</v>
      </c>
      <c r="M73" s="3">
        <f t="shared" si="16"/>
        <v>1.0353671283329854E-3</v>
      </c>
      <c r="N73" s="4">
        <f t="shared" si="27"/>
        <v>4.9252860851126987E+23</v>
      </c>
      <c r="O73" s="3"/>
    </row>
    <row r="74" spans="11:15" x14ac:dyDescent="0.25">
      <c r="L74" s="4"/>
      <c r="M74" s="3"/>
    </row>
  </sheetData>
  <phoneticPr fontId="4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F1012-BC51-44C7-9420-2DDDC23FE7AD}">
  <dimension ref="A1:D10"/>
  <sheetViews>
    <sheetView workbookViewId="0">
      <selection activeCell="B7" sqref="B7"/>
    </sheetView>
  </sheetViews>
  <sheetFormatPr defaultRowHeight="15" x14ac:dyDescent="0.25"/>
  <cols>
    <col min="1" max="1" width="24.42578125" bestFit="1" customWidth="1"/>
    <col min="2" max="2" width="12.85546875" bestFit="1" customWidth="1"/>
    <col min="3" max="4" width="14.5703125" bestFit="1" customWidth="1"/>
  </cols>
  <sheetData>
    <row r="1" spans="1:4" ht="15.75" thickBot="1" x14ac:dyDescent="0.3">
      <c r="A1" s="11"/>
      <c r="B1" s="12" t="s">
        <v>1</v>
      </c>
      <c r="C1" s="12" t="s">
        <v>3</v>
      </c>
      <c r="D1" s="12" t="s">
        <v>2</v>
      </c>
    </row>
    <row r="2" spans="1:4" ht="15.75" thickBot="1" x14ac:dyDescent="0.3">
      <c r="A2" s="12" t="s">
        <v>46</v>
      </c>
      <c r="B2" s="12">
        <v>3</v>
      </c>
      <c r="C2" s="12">
        <v>7</v>
      </c>
      <c r="D2" s="12">
        <v>19</v>
      </c>
    </row>
    <row r="3" spans="1:4" ht="15.75" thickBot="1" x14ac:dyDescent="0.3">
      <c r="A3" s="12" t="s">
        <v>47</v>
      </c>
      <c r="B3" s="12">
        <v>0.17</v>
      </c>
      <c r="C3" s="12">
        <v>1.18</v>
      </c>
      <c r="D3" s="12">
        <v>0.79</v>
      </c>
    </row>
    <row r="4" spans="1:4" ht="15.75" thickBot="1" x14ac:dyDescent="0.3">
      <c r="A4" s="12" t="s">
        <v>17</v>
      </c>
      <c r="B4" s="12">
        <v>6379.95</v>
      </c>
      <c r="C4" s="12">
        <v>17890.919999999998</v>
      </c>
      <c r="D4" s="12">
        <v>17544.09</v>
      </c>
    </row>
    <row r="5" spans="1:4" ht="15.75" thickBot="1" x14ac:dyDescent="0.3">
      <c r="A5" s="12" t="s">
        <v>48</v>
      </c>
      <c r="B5" s="12">
        <v>6.02</v>
      </c>
      <c r="C5" s="12">
        <v>26.49</v>
      </c>
      <c r="D5" s="12">
        <v>19.25</v>
      </c>
    </row>
    <row r="6" spans="1:4" ht="15.75" thickBot="1" x14ac:dyDescent="0.3">
      <c r="A6" s="12" t="s">
        <v>49</v>
      </c>
      <c r="B6" s="13">
        <v>41256.400000000001</v>
      </c>
      <c r="C6" s="13">
        <v>46189.2</v>
      </c>
      <c r="D6" s="13">
        <v>15195.9</v>
      </c>
    </row>
    <row r="7" spans="1:4" ht="15.75" thickBot="1" x14ac:dyDescent="0.3">
      <c r="A7" s="12" t="s">
        <v>50</v>
      </c>
      <c r="B7" s="13">
        <v>14.83</v>
      </c>
      <c r="C7" s="13">
        <v>26.49</v>
      </c>
      <c r="D7" s="13">
        <v>19.920000000000002</v>
      </c>
    </row>
    <row r="8" spans="1:4" ht="15.75" thickBot="1" x14ac:dyDescent="0.3">
      <c r="A8" s="12" t="s">
        <v>51</v>
      </c>
      <c r="B8" s="12">
        <v>41895</v>
      </c>
      <c r="C8" s="12">
        <v>75450</v>
      </c>
      <c r="D8" s="12">
        <v>65715</v>
      </c>
    </row>
    <row r="9" spans="1:4" ht="15.75" thickBot="1" x14ac:dyDescent="0.3">
      <c r="A9" s="12" t="s">
        <v>52</v>
      </c>
      <c r="B9" s="12">
        <v>274007</v>
      </c>
      <c r="C9" s="12">
        <v>423859</v>
      </c>
      <c r="D9" s="12">
        <v>355756</v>
      </c>
    </row>
    <row r="10" spans="1:4" ht="15.75" thickBot="1" x14ac:dyDescent="0.3">
      <c r="A10" s="12" t="s">
        <v>53</v>
      </c>
      <c r="B10" s="12">
        <v>15.29</v>
      </c>
      <c r="C10" s="12">
        <v>17.8</v>
      </c>
      <c r="D10" s="12">
        <v>18.47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147B5-4DC4-4651-81D5-387BC5EEA40C}">
  <dimension ref="A1"/>
  <sheetViews>
    <sheetView topLeftCell="A10" workbookViewId="0">
      <selection activeCell="A13" sqref="A13"/>
    </sheetView>
  </sheetViews>
  <sheetFormatPr defaultRowHeight="15" x14ac:dyDescent="0.25"/>
  <sheetData/>
  <phoneticPr fontId="4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D1FC9-CEE1-4BFD-9CD2-0AD2E0B3A2CD}">
  <dimension ref="A1:O74"/>
  <sheetViews>
    <sheetView tabSelected="1" workbookViewId="0">
      <pane ySplit="1" topLeftCell="A2" activePane="bottomLeft" state="frozen"/>
      <selection pane="bottomLeft" activeCell="I26" sqref="I26"/>
    </sheetView>
  </sheetViews>
  <sheetFormatPr defaultRowHeight="15" x14ac:dyDescent="0.25"/>
  <cols>
    <col min="1" max="1" width="28.42578125" style="1" customWidth="1"/>
    <col min="2" max="2" width="11.140625" style="1" bestFit="1" customWidth="1"/>
    <col min="3" max="3" width="12.85546875" style="1" bestFit="1" customWidth="1"/>
    <col min="4" max="4" width="11.85546875" style="1" bestFit="1" customWidth="1"/>
    <col min="5" max="5" width="14.85546875" style="1" bestFit="1" customWidth="1"/>
    <col min="6" max="6" width="13.85546875" style="1" bestFit="1" customWidth="1"/>
    <col min="7" max="8" width="13.85546875" bestFit="1" customWidth="1"/>
    <col min="9" max="9" width="14.42578125" bestFit="1" customWidth="1"/>
    <col min="10" max="10" width="13.85546875" bestFit="1" customWidth="1"/>
    <col min="11" max="11" width="18.140625" bestFit="1" customWidth="1"/>
    <col min="12" max="12" width="12.85546875" customWidth="1"/>
    <col min="13" max="13" width="9.85546875" bestFit="1" customWidth="1"/>
  </cols>
  <sheetData>
    <row r="1" spans="1:15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</row>
    <row r="2" spans="1:15" ht="15.75" x14ac:dyDescent="0.25">
      <c r="A2" s="5" t="s">
        <v>9</v>
      </c>
      <c r="B2" s="2"/>
      <c r="C2" s="2"/>
      <c r="D2" s="3">
        <v>-0.92436513356886074</v>
      </c>
      <c r="E2" s="3">
        <v>0.44670497142751397</v>
      </c>
      <c r="F2" s="3"/>
    </row>
    <row r="3" spans="1:15" ht="15.75" x14ac:dyDescent="0.25">
      <c r="A3" s="5" t="s">
        <v>10</v>
      </c>
      <c r="B3" s="2"/>
      <c r="C3" s="2"/>
      <c r="D3" s="3">
        <v>-47.039147020783481</v>
      </c>
      <c r="E3" s="3">
        <v>-35.736977735757385</v>
      </c>
      <c r="F3" s="3"/>
    </row>
    <row r="4" spans="1:15" x14ac:dyDescent="0.25">
      <c r="A4" s="2"/>
      <c r="B4" s="2"/>
      <c r="C4" s="2"/>
      <c r="D4" s="2"/>
      <c r="E4" s="2"/>
      <c r="F4" s="2"/>
      <c r="K4" t="s">
        <v>11</v>
      </c>
      <c r="L4" t="s">
        <v>12</v>
      </c>
      <c r="M4" t="s">
        <v>13</v>
      </c>
      <c r="N4" t="s">
        <v>14</v>
      </c>
      <c r="O4" t="s">
        <v>15</v>
      </c>
    </row>
    <row r="5" spans="1:15" ht="15.75" x14ac:dyDescent="0.25">
      <c r="A5" s="6" t="s">
        <v>16</v>
      </c>
      <c r="B5" s="3">
        <v>-4.1073499527093755</v>
      </c>
      <c r="C5" s="3">
        <v>0.17400779010068312</v>
      </c>
      <c r="D5" s="3">
        <v>0.78692254053166122</v>
      </c>
      <c r="E5" s="3">
        <v>1.1808269302756025</v>
      </c>
      <c r="F5" s="3">
        <v>0.17400779010068312</v>
      </c>
      <c r="G5" s="3">
        <v>0.786922540531661</v>
      </c>
      <c r="H5" s="3">
        <v>1.1808269302756</v>
      </c>
      <c r="I5" s="3">
        <v>0</v>
      </c>
      <c r="J5" s="3">
        <v>0</v>
      </c>
      <c r="K5">
        <v>0.1</v>
      </c>
      <c r="L5" s="4">
        <f>($E$9*$E$8*($E$11-$K5*$E$12))/($E$10*($K5*$E$19-$E$18))</f>
        <v>4.3664115495926976E+20</v>
      </c>
      <c r="M5" s="3"/>
      <c r="N5" s="4">
        <f>($E$9*$E$8*($E$18-$K5*$E$19))/($E$10*($K5*$E$12-$E$11))</f>
        <v>9.5917040324886758E+17</v>
      </c>
      <c r="O5" s="3">
        <f t="shared" ref="O5:O25" si="0">1000*183.31*N5/(6.022*10^23)</f>
        <v>0.29197198043764522</v>
      </c>
    </row>
    <row r="6" spans="1:15" ht="15.75" x14ac:dyDescent="0.25">
      <c r="A6" s="6" t="s">
        <v>17</v>
      </c>
      <c r="B6" s="3">
        <v>5.6874527701816406</v>
      </c>
      <c r="C6" s="3">
        <v>6379.9476596388004</v>
      </c>
      <c r="D6" s="3">
        <v>383</v>
      </c>
      <c r="E6" s="3">
        <v>3875</v>
      </c>
      <c r="F6" s="10">
        <v>41256.400000000001</v>
      </c>
      <c r="G6" s="10">
        <v>15195.9</v>
      </c>
      <c r="H6" s="10">
        <v>46189.2</v>
      </c>
      <c r="I6" s="3">
        <v>0.2</v>
      </c>
      <c r="J6" s="3">
        <v>3</v>
      </c>
      <c r="K6">
        <v>0.15</v>
      </c>
      <c r="L6" s="4">
        <f t="shared" ref="L6:L70" si="1">($E$9*$E$8*($E$11-$K6*$E$12))/($E$10*($K6*$E$19-$E$18))</f>
        <v>2.1655014403039068E+20</v>
      </c>
      <c r="M6" s="3"/>
      <c r="N6" s="4">
        <f t="shared" ref="N6:N70" si="2">($E$9*$E$8*($E$18-$K6*$E$19))/($E$10*($K6*$E$12-$E$11))</f>
        <v>1.9340244475596268E+18</v>
      </c>
      <c r="O6" s="3">
        <f t="shared" si="0"/>
        <v>0.58871806954858052</v>
      </c>
    </row>
    <row r="7" spans="1:15" ht="15.75" x14ac:dyDescent="0.25">
      <c r="A7" s="6" t="s">
        <v>18</v>
      </c>
      <c r="B7" s="9">
        <v>1.1738999999999999</v>
      </c>
      <c r="C7" s="2">
        <v>1.768</v>
      </c>
      <c r="D7" s="2">
        <v>1.6950000000000001</v>
      </c>
      <c r="E7" s="2">
        <v>2.073</v>
      </c>
      <c r="F7" s="2">
        <v>1.768</v>
      </c>
      <c r="G7" s="2">
        <v>1.6950000000000001</v>
      </c>
      <c r="H7" s="2">
        <v>2.073</v>
      </c>
      <c r="I7" s="3">
        <v>1.3028</v>
      </c>
      <c r="J7" s="14">
        <v>1.5193000000000001</v>
      </c>
      <c r="K7">
        <v>0.2</v>
      </c>
      <c r="L7" s="4">
        <f t="shared" si="1"/>
        <v>1.4397313161069711E+20</v>
      </c>
      <c r="M7" s="3"/>
      <c r="N7" s="4">
        <f t="shared" si="2"/>
        <v>2.9089682775658706E+18</v>
      </c>
      <c r="O7" s="3">
        <f t="shared" si="0"/>
        <v>0.88549148947293221</v>
      </c>
    </row>
    <row r="8" spans="1:15" ht="15.75" x14ac:dyDescent="0.25">
      <c r="A8" s="6" t="s">
        <v>19</v>
      </c>
      <c r="B8" s="4">
        <f>6.022*10^20*B7/61</f>
        <v>1.158889475409836E+19</v>
      </c>
      <c r="C8" s="4">
        <f t="shared" ref="C8" si="3">6.022*10^20*C7/61</f>
        <v>1.745392786885246E+19</v>
      </c>
      <c r="D8" s="4">
        <f>6.022*10^20*D7/61</f>
        <v>1.673326229508197E+19</v>
      </c>
      <c r="E8" s="4">
        <f>6.022*10^20*E7/61</f>
        <v>2.0464927868852457E+19</v>
      </c>
      <c r="F8" s="4">
        <f t="shared" ref="F8" si="4">6.022*10^20*F7/61</f>
        <v>1.745392786885246E+19</v>
      </c>
      <c r="G8" s="4">
        <f>6.022*10^20*G7/61</f>
        <v>1.673326229508197E+19</v>
      </c>
      <c r="H8" s="4">
        <f>6.022*10^20*H7/61</f>
        <v>2.0464927868852457E+19</v>
      </c>
      <c r="I8" s="4">
        <f t="shared" ref="I8:J8" si="5">6.022*10^20*I7/61</f>
        <v>1.2861412459016393E+19</v>
      </c>
      <c r="J8" s="4">
        <f t="shared" si="5"/>
        <v>1.4998728852459016E+19</v>
      </c>
      <c r="K8">
        <v>0.25</v>
      </c>
      <c r="L8" s="4">
        <f t="shared" si="1"/>
        <v>1.0783034685582646E+20</v>
      </c>
      <c r="M8" s="3"/>
      <c r="N8" s="4">
        <f t="shared" si="2"/>
        <v>3.8840019056722898E+18</v>
      </c>
      <c r="O8" s="3">
        <f t="shared" si="0"/>
        <v>1.1822922439866945</v>
      </c>
    </row>
    <row r="9" spans="1:15" ht="15.75" x14ac:dyDescent="0.25">
      <c r="A9" s="6" t="s">
        <v>20</v>
      </c>
      <c r="B9" s="8">
        <v>1</v>
      </c>
      <c r="C9" s="8">
        <v>1</v>
      </c>
      <c r="D9" s="8">
        <v>1</v>
      </c>
      <c r="E9" s="8">
        <v>1</v>
      </c>
      <c r="F9" s="8">
        <v>1</v>
      </c>
      <c r="G9" s="8">
        <v>1</v>
      </c>
      <c r="H9" s="8">
        <v>1</v>
      </c>
      <c r="I9" s="8">
        <v>1</v>
      </c>
      <c r="J9" s="8">
        <v>1</v>
      </c>
      <c r="K9">
        <v>0.3</v>
      </c>
      <c r="L9" s="4">
        <f t="shared" si="1"/>
        <v>8.6191082345682174E+19</v>
      </c>
      <c r="M9" s="3"/>
      <c r="N9" s="4">
        <f t="shared" si="2"/>
        <v>4.8591253442858619E+18</v>
      </c>
      <c r="O9" s="3">
        <f t="shared" si="0"/>
        <v>1.4791203368665582</v>
      </c>
    </row>
    <row r="10" spans="1:15" ht="15.75" x14ac:dyDescent="0.25">
      <c r="A10" s="6" t="s">
        <v>21</v>
      </c>
      <c r="B10" s="8">
        <v>1</v>
      </c>
      <c r="C10" s="8">
        <v>1</v>
      </c>
      <c r="D10" s="8">
        <v>1</v>
      </c>
      <c r="E10" s="8">
        <v>1</v>
      </c>
      <c r="F10" s="8">
        <v>1</v>
      </c>
      <c r="G10" s="8">
        <v>1</v>
      </c>
      <c r="H10" s="8">
        <v>1</v>
      </c>
      <c r="I10" s="8">
        <v>1</v>
      </c>
      <c r="J10" s="8">
        <v>1</v>
      </c>
      <c r="K10">
        <v>0.35</v>
      </c>
      <c r="L10" s="4">
        <f t="shared" si="1"/>
        <v>7.1784190286770135E+19</v>
      </c>
      <c r="M10" s="3"/>
      <c r="N10" s="4">
        <f t="shared" si="2"/>
        <v>5.8343386058158479E+18</v>
      </c>
      <c r="O10" s="3">
        <f t="shared" si="0"/>
        <v>1.7759757718899087</v>
      </c>
    </row>
    <row r="11" spans="1:15" ht="15.75" x14ac:dyDescent="0.25">
      <c r="A11" s="6" t="s">
        <v>22</v>
      </c>
      <c r="B11" s="7">
        <v>0.99907999999999997</v>
      </c>
      <c r="C11" s="7">
        <v>0.99907999999999997</v>
      </c>
      <c r="D11" s="7">
        <v>0.99907999999999997</v>
      </c>
      <c r="E11" s="7">
        <v>0.99907999999999997</v>
      </c>
      <c r="F11" s="7">
        <v>0.99907999999999997</v>
      </c>
      <c r="G11" s="7">
        <v>0.99907999999999997</v>
      </c>
      <c r="H11" s="7">
        <v>0.99907999999999997</v>
      </c>
      <c r="I11" s="7">
        <v>0.99907999999999997</v>
      </c>
      <c r="J11" s="7">
        <v>0.99907999999999997</v>
      </c>
      <c r="K11">
        <v>0.4</v>
      </c>
      <c r="L11" s="4">
        <f t="shared" si="1"/>
        <v>6.1502982236625953E+19</v>
      </c>
      <c r="M11" s="3"/>
      <c r="N11" s="4">
        <f t="shared" si="2"/>
        <v>6.8096417026737981E+18</v>
      </c>
      <c r="O11" s="3">
        <f t="shared" si="0"/>
        <v>2.0728585528348291</v>
      </c>
    </row>
    <row r="12" spans="1:15" ht="15.75" x14ac:dyDescent="0.25">
      <c r="A12" s="6" t="s">
        <v>23</v>
      </c>
      <c r="B12" s="7">
        <v>9.2000000000000003E-4</v>
      </c>
      <c r="C12" s="7">
        <v>9.2000000000000003E-4</v>
      </c>
      <c r="D12" s="7">
        <v>9.2000000000000003E-4</v>
      </c>
      <c r="E12" s="7">
        <v>9.2000000000000003E-4</v>
      </c>
      <c r="F12" s="7">
        <v>9.2000000000000003E-4</v>
      </c>
      <c r="G12" s="7">
        <v>9.2000000000000003E-4</v>
      </c>
      <c r="H12" s="7">
        <v>9.2000000000000003E-4</v>
      </c>
      <c r="I12" s="7">
        <v>9.2000000000000003E-4</v>
      </c>
      <c r="J12" s="7">
        <v>9.2000000000000003E-4</v>
      </c>
      <c r="K12">
        <v>0.45</v>
      </c>
      <c r="L12" s="4">
        <f t="shared" si="1"/>
        <v>5.3797226557496394E+19</v>
      </c>
      <c r="M12" s="3"/>
      <c r="N12" s="4">
        <f t="shared" si="2"/>
        <v>7.7850346472735468E+18</v>
      </c>
      <c r="O12" s="3">
        <f t="shared" si="0"/>
        <v>2.3697686834800966</v>
      </c>
    </row>
    <row r="13" spans="1:15" ht="15.75" x14ac:dyDescent="0.25">
      <c r="A13" s="6" t="s">
        <v>24</v>
      </c>
      <c r="B13" s="7">
        <f t="shared" ref="B13:G13" si="6">B6*B15/1000+B15</f>
        <v>5.1028581353559019E-2</v>
      </c>
      <c r="C13" s="7">
        <f t="shared" si="6"/>
        <v>0.37445854425007274</v>
      </c>
      <c r="D13" s="7">
        <f t="shared" si="6"/>
        <v>7.017342E-2</v>
      </c>
      <c r="E13" s="7">
        <f>E6*E15/1000+E15</f>
        <v>0.24735750000000001</v>
      </c>
      <c r="F13" s="7">
        <f t="shared" si="6"/>
        <v>2.1440897359999997</v>
      </c>
      <c r="G13" s="7">
        <f t="shared" si="6"/>
        <v>0.82177996599999992</v>
      </c>
      <c r="H13" s="7">
        <f>H6*H15/1000+H15</f>
        <v>2.3943800079999997</v>
      </c>
      <c r="I13" s="7">
        <f t="shared" ref="I13:J13" si="7">I6*I15/1000+I15</f>
        <v>5.0750148000000002E-2</v>
      </c>
      <c r="J13" s="7">
        <f t="shared" si="7"/>
        <v>5.0892220000000002E-2</v>
      </c>
      <c r="K13">
        <v>0.5</v>
      </c>
      <c r="L13" s="4">
        <f t="shared" si="1"/>
        <v>4.7806910376079196E+19</v>
      </c>
      <c r="M13" s="3"/>
      <c r="N13" s="4">
        <f t="shared" si="2"/>
        <v>8.7605174520312146E+18</v>
      </c>
      <c r="O13" s="3">
        <f t="shared" si="0"/>
        <v>2.6667061676051844</v>
      </c>
    </row>
    <row r="14" spans="1:15" ht="15.75" x14ac:dyDescent="0.25">
      <c r="A14" s="6" t="s">
        <v>25</v>
      </c>
      <c r="B14" s="7">
        <v>4.6699999999999998E-2</v>
      </c>
      <c r="C14" s="7">
        <v>4.6699999999999998E-2</v>
      </c>
      <c r="D14" s="7">
        <v>4.6699999999999998E-2</v>
      </c>
      <c r="E14" s="7">
        <v>4.6699999999999998E-2</v>
      </c>
      <c r="F14" s="7">
        <v>4.6699999999999998E-2</v>
      </c>
      <c r="G14" s="7">
        <v>4.6699999999999998E-2</v>
      </c>
      <c r="H14" s="7">
        <v>4.6699999999999998E-2</v>
      </c>
      <c r="I14" s="7">
        <v>4.6699999999999998E-2</v>
      </c>
      <c r="J14" s="7">
        <v>4.6699999999999998E-2</v>
      </c>
      <c r="K14">
        <v>0.55000000000000004</v>
      </c>
      <c r="L14" s="4">
        <f t="shared" si="1"/>
        <v>4.3016577200137339E+19</v>
      </c>
      <c r="M14" s="3"/>
      <c r="N14" s="4">
        <f t="shared" si="2"/>
        <v>9.7360901293652152E+18</v>
      </c>
      <c r="O14" s="3">
        <f t="shared" si="0"/>
        <v>2.9636710089902651</v>
      </c>
    </row>
    <row r="15" spans="1:15" ht="15.75" x14ac:dyDescent="0.25">
      <c r="A15" s="6" t="s">
        <v>26</v>
      </c>
      <c r="B15" s="7">
        <v>5.074E-2</v>
      </c>
      <c r="C15" s="7">
        <v>5.074E-2</v>
      </c>
      <c r="D15" s="7">
        <v>5.074E-2</v>
      </c>
      <c r="E15" s="7">
        <v>5.074E-2</v>
      </c>
      <c r="F15" s="7">
        <v>5.074E-2</v>
      </c>
      <c r="G15" s="7">
        <v>5.074E-2</v>
      </c>
      <c r="H15" s="7">
        <v>5.074E-2</v>
      </c>
      <c r="I15" s="7">
        <v>5.074E-2</v>
      </c>
      <c r="J15" s="7">
        <v>5.074E-2</v>
      </c>
      <c r="K15">
        <v>0.6</v>
      </c>
      <c r="L15" s="4">
        <f t="shared" si="1"/>
        <v>3.9098482268172427E+19</v>
      </c>
      <c r="M15" s="3"/>
      <c r="N15" s="4">
        <f t="shared" si="2"/>
        <v>1.0711752691696247E+19</v>
      </c>
      <c r="O15" s="3">
        <f t="shared" si="0"/>
        <v>3.260663211416206</v>
      </c>
    </row>
    <row r="16" spans="1:15" ht="15.75" x14ac:dyDescent="0.25">
      <c r="A16" s="6" t="s">
        <v>27</v>
      </c>
      <c r="B16" s="7">
        <f t="shared" ref="B16:J16" si="8">B6*B15/1000+B15</f>
        <v>5.1028581353559019E-2</v>
      </c>
      <c r="C16" s="7">
        <f t="shared" si="8"/>
        <v>0.37445854425007274</v>
      </c>
      <c r="D16" s="7">
        <f t="shared" si="8"/>
        <v>7.017342E-2</v>
      </c>
      <c r="E16" s="7">
        <f t="shared" si="8"/>
        <v>0.24735750000000001</v>
      </c>
      <c r="F16" s="7">
        <f t="shared" si="8"/>
        <v>2.1440897359999997</v>
      </c>
      <c r="G16" s="7">
        <f t="shared" si="8"/>
        <v>0.82177996599999992</v>
      </c>
      <c r="H16" s="7">
        <f t="shared" si="8"/>
        <v>2.3943800079999997</v>
      </c>
      <c r="I16" s="7">
        <f t="shared" si="8"/>
        <v>5.0750148000000002E-2</v>
      </c>
      <c r="J16" s="7">
        <f t="shared" si="8"/>
        <v>5.0892220000000002E-2</v>
      </c>
      <c r="K16">
        <v>0.65</v>
      </c>
      <c r="L16" s="4">
        <f t="shared" si="1"/>
        <v>3.5834274915846451E+19</v>
      </c>
      <c r="M16" s="3"/>
      <c r="N16" s="4">
        <f t="shared" si="2"/>
        <v>1.1687505151447294E+19</v>
      </c>
      <c r="O16" s="3">
        <f t="shared" si="0"/>
        <v>3.5576827786645695</v>
      </c>
    </row>
    <row r="17" spans="1:15" ht="15.75" x14ac:dyDescent="0.25">
      <c r="A17" s="6" t="s">
        <v>28</v>
      </c>
      <c r="B17" s="7">
        <v>26.863700000000001</v>
      </c>
      <c r="C17" s="7">
        <v>17.932200000000002</v>
      </c>
      <c r="D17" s="7">
        <v>34.789000000000001</v>
      </c>
      <c r="E17" s="7">
        <v>27.1739</v>
      </c>
      <c r="F17" s="7">
        <v>17.932200000000002</v>
      </c>
      <c r="G17" s="7">
        <v>34.789000000000001</v>
      </c>
      <c r="H17" s="7">
        <v>27.1739</v>
      </c>
      <c r="I17" s="14">
        <v>26.5717</v>
      </c>
      <c r="J17" s="14">
        <v>26.187999999999999</v>
      </c>
      <c r="K17">
        <v>0.7</v>
      </c>
      <c r="L17" s="4">
        <f t="shared" si="1"/>
        <v>3.3072872080732242E+19</v>
      </c>
      <c r="M17" s="3"/>
      <c r="N17" s="4">
        <f t="shared" si="2"/>
        <v>1.2663347521043638E+19</v>
      </c>
      <c r="O17" s="3">
        <f t="shared" si="0"/>
        <v>3.8547297145176178</v>
      </c>
    </row>
    <row r="18" spans="1:15" ht="15.75" x14ac:dyDescent="0.25">
      <c r="A18" s="6" t="s">
        <v>29</v>
      </c>
      <c r="B18" s="7">
        <f t="shared" ref="B18:E18" si="9">(B5*B15/1000+B15)/((B5*B15/1000+B15)+1)</f>
        <v>4.8100974208730864E-2</v>
      </c>
      <c r="C18" s="7">
        <f t="shared" si="9"/>
        <v>4.8297773689710694E-2</v>
      </c>
      <c r="D18" s="7">
        <f t="shared" si="9"/>
        <v>4.8325940641658398E-2</v>
      </c>
      <c r="E18" s="7">
        <f t="shared" si="9"/>
        <v>4.834404192998288E-2</v>
      </c>
      <c r="F18" s="7">
        <f>(F5*F15/1000+F15)/((F5*F15/1000+F15)+1)</f>
        <v>4.8297773689710694E-2</v>
      </c>
      <c r="G18" s="7">
        <f>(G5*G15/1000+G15)/((G5*G15/1000+G15)+1)</f>
        <v>4.8325940641658398E-2</v>
      </c>
      <c r="H18" s="7">
        <f>(H5*H15/1000+H15)/((H5*H15/1000+H15)+1)</f>
        <v>4.834404192998288E-2</v>
      </c>
      <c r="I18" s="7">
        <f>(I5*I15/1000+I15)/((I5*I15/1000+I15)+1)</f>
        <v>4.8289776728781618E-2</v>
      </c>
      <c r="J18" s="7">
        <f>(J5*J15/1000+J15)/((J5*J15/1000+J15)+1)</f>
        <v>4.8289776728781618E-2</v>
      </c>
      <c r="K18">
        <v>0.75</v>
      </c>
      <c r="L18" s="4">
        <f t="shared" si="1"/>
        <v>3.0706406674113901E+19</v>
      </c>
      <c r="M18" s="3"/>
      <c r="N18" s="4">
        <f t="shared" si="2"/>
        <v>1.3639279812912847E+19</v>
      </c>
      <c r="O18" s="3">
        <f t="shared" si="0"/>
        <v>4.1518040227583102</v>
      </c>
    </row>
    <row r="19" spans="1:15" ht="15.75" x14ac:dyDescent="0.25">
      <c r="A19" s="6" t="s">
        <v>30</v>
      </c>
      <c r="B19" s="7">
        <f t="shared" ref="B19:E19" si="10">1-B18</f>
        <v>0.95189902579126917</v>
      </c>
      <c r="C19" s="7">
        <f t="shared" si="10"/>
        <v>0.95170222631028933</v>
      </c>
      <c r="D19" s="7">
        <f t="shared" si="10"/>
        <v>0.9516740593583416</v>
      </c>
      <c r="E19" s="7">
        <f t="shared" si="10"/>
        <v>0.95165595807001713</v>
      </c>
      <c r="F19" s="7">
        <f>1-F18</f>
        <v>0.95170222631028933</v>
      </c>
      <c r="G19" s="7">
        <f>1-G18</f>
        <v>0.9516740593583416</v>
      </c>
      <c r="H19" s="7">
        <f>1-H18</f>
        <v>0.95165595807001713</v>
      </c>
      <c r="I19" s="7">
        <f>1-I18</f>
        <v>0.95171022327121835</v>
      </c>
      <c r="J19" s="7">
        <f>1-J18</f>
        <v>0.95171022327121835</v>
      </c>
      <c r="K19">
        <v>0.8</v>
      </c>
      <c r="L19" s="4">
        <f t="shared" si="1"/>
        <v>2.8655806875962331E+19</v>
      </c>
      <c r="M19" s="3"/>
      <c r="N19" s="4">
        <f t="shared" si="2"/>
        <v>1.4615302039484774E+19</v>
      </c>
      <c r="O19" s="3">
        <f t="shared" si="0"/>
        <v>4.4489057071702991</v>
      </c>
    </row>
    <row r="20" spans="1:15" ht="15.75" x14ac:dyDescent="0.25">
      <c r="A20" s="6"/>
      <c r="G20" s="1"/>
      <c r="H20" s="1"/>
      <c r="K20">
        <v>0.85</v>
      </c>
      <c r="L20" s="4">
        <f t="shared" si="1"/>
        <v>2.6861788606897824E+19</v>
      </c>
      <c r="M20" s="3"/>
      <c r="N20" s="4">
        <f t="shared" si="2"/>
        <v>1.5591414213191565E+19</v>
      </c>
      <c r="O20" s="3">
        <f t="shared" si="0"/>
        <v>4.7460347715379374</v>
      </c>
    </row>
    <row r="21" spans="1:15" ht="15.75" x14ac:dyDescent="0.25">
      <c r="A21" s="6"/>
      <c r="G21" s="1"/>
      <c r="H21" s="1"/>
      <c r="K21">
        <v>0.9</v>
      </c>
      <c r="L21" s="4">
        <f t="shared" si="1"/>
        <v>2.5279030122316169E+19</v>
      </c>
      <c r="M21" s="3"/>
      <c r="N21" s="4">
        <f t="shared" si="2"/>
        <v>1.656761634646767E+19</v>
      </c>
      <c r="O21" s="3">
        <f t="shared" si="0"/>
        <v>5.0431912196462783</v>
      </c>
    </row>
    <row r="22" spans="1:15" ht="15.75" x14ac:dyDescent="0.25">
      <c r="A22" s="6"/>
      <c r="G22" s="1"/>
      <c r="H22" s="1"/>
      <c r="K22">
        <v>0.95</v>
      </c>
      <c r="L22" s="4">
        <f t="shared" si="1"/>
        <v>2.3872290135871181E+19</v>
      </c>
      <c r="M22" s="3"/>
      <c r="N22" s="4">
        <f t="shared" si="2"/>
        <v>1.754390845174981E+19</v>
      </c>
      <c r="O22" s="3">
        <f t="shared" si="0"/>
        <v>5.3403750552810658</v>
      </c>
    </row>
    <row r="23" spans="1:15" ht="15.75" x14ac:dyDescent="0.25">
      <c r="A23" s="6"/>
      <c r="G23" s="1"/>
      <c r="H23" s="1"/>
      <c r="K23">
        <v>1</v>
      </c>
      <c r="L23" s="4">
        <f t="shared" si="1"/>
        <v>2.2613752831759466E+19</v>
      </c>
      <c r="M23" s="3"/>
      <c r="N23" s="4">
        <f t="shared" si="2"/>
        <v>1.852029054147702E+19</v>
      </c>
      <c r="O23" s="3">
        <f t="shared" si="0"/>
        <v>5.6375862822287495</v>
      </c>
    </row>
    <row r="24" spans="1:15" ht="15.75" x14ac:dyDescent="0.25">
      <c r="A24" s="6" t="s">
        <v>31</v>
      </c>
      <c r="B24" s="4">
        <f>(B$9*B$8*(B$11-B$16*B$12))/(B$10*(B$16*B$19-B$18))</f>
        <v>2.447286630482097E+22</v>
      </c>
      <c r="C24" s="4">
        <f>(C9*C8*(C11-C16*C12))/(C10*(C16*C19-C18))</f>
        <v>5.6583113946582524E+19</v>
      </c>
      <c r="D24" s="4">
        <f>(D9*D8*(D11-D16*D12))/(D10*(D16*D19-D18))</f>
        <v>9.0575050008779778E+20</v>
      </c>
      <c r="E24" s="4">
        <f>($E$9*$E$8*($E$11-$E$16*$E$12))/($E$10*(E$16*$E$19-$E$18))</f>
        <v>1.0928027294997493E+20</v>
      </c>
      <c r="F24" s="4">
        <f>(F9*F8*(F11-F16*F12))/(F10*(F16*F19-F18))</f>
        <v>8.7356271019225764E+18</v>
      </c>
      <c r="G24" s="4">
        <f>(G9*G8*(G11-G16*G12))/(G10*(G16*G19-G18))</f>
        <v>2.2767192702506275E+19</v>
      </c>
      <c r="H24" s="4">
        <f>(H9*H8*(H11-H16*H12))/(H10*(H16*H19-H18))</f>
        <v>9.1472826150194985E+18</v>
      </c>
      <c r="I24" s="4">
        <f>(I9*I8*(I11-I16*I12))/(I10*(I16*I19-I18))</f>
        <v>1.3304036929617784E+24</v>
      </c>
      <c r="J24" s="4">
        <f>(J9*J8*(J11-J16*J12))/(J10*(J16*J19-J18))</f>
        <v>1.0343271242795376E+23</v>
      </c>
      <c r="K24">
        <v>1.05</v>
      </c>
      <c r="L24" s="4">
        <f t="shared" si="1"/>
        <v>2.1481170010959401E+19</v>
      </c>
      <c r="M24" s="3"/>
      <c r="N24" s="4">
        <f t="shared" si="2"/>
        <v>1.9496762628090614E+19</v>
      </c>
      <c r="O24" s="3">
        <f t="shared" si="0"/>
        <v>5.9348249042764705</v>
      </c>
    </row>
    <row r="25" spans="1:15" ht="15.75" x14ac:dyDescent="0.25">
      <c r="A25" s="6" t="s">
        <v>32</v>
      </c>
      <c r="B25" s="4">
        <f t="shared" ref="B25" si="11">1000*183.31*B24/(6.022*10^23)</f>
        <v>7449.5535076996548</v>
      </c>
      <c r="C25" s="4">
        <f>1000*183.31*C24/(6.022*10^23)</f>
        <v>17.223929952753309</v>
      </c>
      <c r="D25" s="4">
        <f>1000*183.31*D24/(6.022*10^23)</f>
        <v>275.71093352888448</v>
      </c>
      <c r="E25" s="4">
        <f>1000*183.31*E$24/(6.022*10^23)</f>
        <v>33.264973155861682</v>
      </c>
      <c r="F25" s="4">
        <f>1000*183.31*F24/(6.022*10^23)</f>
        <v>2.6591295318057582</v>
      </c>
      <c r="G25" s="4">
        <f>1000*183.31*G24/(6.022*10^23)</f>
        <v>6.9303455567858281</v>
      </c>
      <c r="H25" s="4">
        <f>1000*183.31*H24/(6.022*10^23)</f>
        <v>2.784437688739994</v>
      </c>
      <c r="I25" s="4">
        <f>1000*183.31*I$24/(6.022*10^23)</f>
        <v>404975.59109402791</v>
      </c>
      <c r="J25" s="4">
        <f>1000*183.31*J$24/(6.022*10^23)</f>
        <v>31484.972625652947</v>
      </c>
      <c r="K25">
        <v>1.1000000000000001</v>
      </c>
      <c r="L25" s="4">
        <f t="shared" si="1"/>
        <v>2.045653445752646E+19</v>
      </c>
      <c r="M25" s="3">
        <f t="shared" ref="M25:M67" si="12">1000*183.31*L25/(6.022*10^23)</f>
        <v>6.2269799591650212</v>
      </c>
      <c r="N25" s="4">
        <f t="shared" si="2"/>
        <v>2.0473324724034195E+19</v>
      </c>
      <c r="O25" s="3">
        <f t="shared" si="0"/>
        <v>6.23209092521207</v>
      </c>
    </row>
    <row r="26" spans="1:15" ht="15.75" x14ac:dyDescent="0.25">
      <c r="A26" s="6" t="s">
        <v>33</v>
      </c>
      <c r="B26" s="16">
        <f t="shared" ref="B26:J26" si="13">100*B25/B17</f>
        <v>27730.928754042274</v>
      </c>
      <c r="C26" s="16">
        <f t="shared" si="13"/>
        <v>96.050289160021123</v>
      </c>
      <c r="D26" s="16">
        <f t="shared" si="13"/>
        <v>792.52330773774611</v>
      </c>
      <c r="E26" s="16">
        <f t="shared" si="13"/>
        <v>122.41515997284777</v>
      </c>
      <c r="F26" s="16">
        <f t="shared" si="13"/>
        <v>14.828796978651576</v>
      </c>
      <c r="G26" s="16">
        <f t="shared" si="13"/>
        <v>19.921082976762275</v>
      </c>
      <c r="H26" s="16">
        <f t="shared" si="13"/>
        <v>10.246735612996272</v>
      </c>
      <c r="I26" s="16">
        <f t="shared" si="13"/>
        <v>1524086.1182913699</v>
      </c>
      <c r="J26" s="16">
        <f t="shared" si="13"/>
        <v>120226.71691481957</v>
      </c>
      <c r="K26">
        <v>1.1499999999999999</v>
      </c>
      <c r="L26" s="4">
        <f t="shared" si="1"/>
        <v>1.9525115377378345E+19</v>
      </c>
      <c r="M26" s="3">
        <f t="shared" si="12"/>
        <v>5.9434554962258792</v>
      </c>
      <c r="N26" s="4">
        <f t="shared" si="2"/>
        <v>2.144997684175367E+19</v>
      </c>
      <c r="O26" s="3"/>
    </row>
    <row r="27" spans="1:15" x14ac:dyDescent="0.25">
      <c r="A27" s="1" t="s">
        <v>34</v>
      </c>
      <c r="C27" s="1">
        <v>3</v>
      </c>
      <c r="D27" s="1">
        <v>19</v>
      </c>
      <c r="E27" s="1">
        <v>7</v>
      </c>
      <c r="F27" s="1">
        <v>3</v>
      </c>
      <c r="G27" s="1">
        <v>19</v>
      </c>
      <c r="H27" s="1">
        <v>7</v>
      </c>
      <c r="I27">
        <v>1</v>
      </c>
      <c r="J27">
        <v>1</v>
      </c>
      <c r="K27">
        <v>1.2</v>
      </c>
      <c r="L27" s="4">
        <f t="shared" si="1"/>
        <v>1.8674745636891247E+19</v>
      </c>
      <c r="M27" s="3">
        <f t="shared" si="12"/>
        <v>5.6846024953479484</v>
      </c>
      <c r="N27" s="4">
        <f t="shared" si="2"/>
        <v>2.242671899369726E+19</v>
      </c>
      <c r="O27" s="3"/>
    </row>
    <row r="28" spans="1:15" x14ac:dyDescent="0.25">
      <c r="K28">
        <v>1.25</v>
      </c>
      <c r="L28" s="4">
        <f t="shared" si="1"/>
        <v>1.7895287310707421E+19</v>
      </c>
      <c r="M28" s="3">
        <f t="shared" si="12"/>
        <v>5.4473349666651902</v>
      </c>
      <c r="N28" s="4">
        <f t="shared" si="2"/>
        <v>2.3403551192315437E+19</v>
      </c>
      <c r="O28" s="3"/>
    </row>
    <row r="29" spans="1:15" x14ac:dyDescent="0.25">
      <c r="K29">
        <v>1.3</v>
      </c>
      <c r="L29" s="4">
        <f t="shared" si="1"/>
        <v>1.7178225580204476E+19</v>
      </c>
      <c r="M29" s="3">
        <f t="shared" si="12"/>
        <v>5.2290609948643016</v>
      </c>
      <c r="N29" s="4">
        <f t="shared" si="2"/>
        <v>2.4380473450061001E+19</v>
      </c>
      <c r="O29" s="3"/>
    </row>
    <row r="30" spans="1:15" x14ac:dyDescent="0.25">
      <c r="K30">
        <v>1.35</v>
      </c>
      <c r="L30" s="4">
        <f t="shared" si="1"/>
        <v>1.6516356405403251E+19</v>
      </c>
      <c r="M30" s="3">
        <f t="shared" si="12"/>
        <v>5.0275876663475092</v>
      </c>
      <c r="N30" s="4">
        <f t="shared" si="2"/>
        <v>2.5357485779389043E+19</v>
      </c>
      <c r="O30" s="3"/>
    </row>
    <row r="31" spans="1:15" x14ac:dyDescent="0.25">
      <c r="K31">
        <v>1.4</v>
      </c>
      <c r="L31" s="4">
        <f t="shared" si="1"/>
        <v>1.5903543644267973E+19</v>
      </c>
      <c r="M31" s="3">
        <f t="shared" si="12"/>
        <v>4.841047136218469</v>
      </c>
      <c r="N31" s="4">
        <f t="shared" si="2"/>
        <v>2.6334588192756937E+19</v>
      </c>
      <c r="O31" s="3"/>
    </row>
    <row r="32" spans="1:15" x14ac:dyDescent="0.25">
      <c r="K32">
        <v>1.45</v>
      </c>
      <c r="L32" s="4">
        <f t="shared" si="1"/>
        <v>1.5334528247625044E+19</v>
      </c>
      <c r="M32" s="3">
        <f t="shared" si="12"/>
        <v>4.667838547114159</v>
      </c>
      <c r="N32" s="4">
        <f t="shared" si="2"/>
        <v>2.7311780702624375E+19</v>
      </c>
      <c r="O32" s="3"/>
    </row>
    <row r="33" spans="2:15" x14ac:dyDescent="0.25">
      <c r="G33" s="1"/>
      <c r="H33" s="1"/>
      <c r="I33" s="1"/>
      <c r="J33" s="1"/>
      <c r="K33">
        <v>1.5</v>
      </c>
      <c r="L33" s="4">
        <f t="shared" si="1"/>
        <v>1.480477695278522E+19</v>
      </c>
      <c r="M33" s="3">
        <f t="shared" si="12"/>
        <v>4.506581971463067</v>
      </c>
      <c r="N33" s="4">
        <f t="shared" si="2"/>
        <v>2.828906332145333E+19</v>
      </c>
      <c r="O33" s="3"/>
    </row>
    <row r="34" spans="2:15" x14ac:dyDescent="0.25">
      <c r="G34" s="1"/>
      <c r="H34" s="1"/>
      <c r="I34" s="1"/>
      <c r="J34" s="1"/>
      <c r="K34">
        <v>1.55</v>
      </c>
      <c r="L34" s="4">
        <f t="shared" si="1"/>
        <v>1.4310361254587642E+19</v>
      </c>
      <c r="M34" s="3">
        <f t="shared" si="12"/>
        <v>4.3560815702066771</v>
      </c>
      <c r="N34" s="4">
        <f t="shared" si="2"/>
        <v>2.9266436061708091E+19</v>
      </c>
      <c r="O34" s="3"/>
    </row>
    <row r="35" spans="2:15" x14ac:dyDescent="0.25">
      <c r="C35" s="17"/>
      <c r="D35" s="17"/>
      <c r="E35" s="17"/>
      <c r="F35" s="17"/>
      <c r="G35" s="17"/>
      <c r="H35" s="17"/>
      <c r="I35" s="17"/>
      <c r="J35" s="17"/>
      <c r="K35">
        <v>1.6</v>
      </c>
      <c r="L35" s="4">
        <f t="shared" si="1"/>
        <v>1.3847859813498319E+19</v>
      </c>
      <c r="M35" s="3">
        <f t="shared" si="12"/>
        <v>4.2152958857727949</v>
      </c>
      <c r="N35" s="4">
        <f t="shared" si="2"/>
        <v>3.0243898935855215E+19</v>
      </c>
      <c r="O35" s="3"/>
    </row>
    <row r="36" spans="2:15" x14ac:dyDescent="0.25">
      <c r="G36" s="1"/>
      <c r="H36" s="1"/>
      <c r="I36" s="1"/>
      <c r="J36" s="1"/>
      <c r="K36">
        <v>1.65</v>
      </c>
      <c r="L36" s="4">
        <f t="shared" si="1"/>
        <v>1.3414279171342991E+19</v>
      </c>
      <c r="M36" s="3">
        <f t="shared" si="12"/>
        <v>4.0833137079024979</v>
      </c>
      <c r="N36" s="4">
        <f t="shared" si="2"/>
        <v>3.1221451956363588E+19</v>
      </c>
      <c r="O36" s="3"/>
    </row>
    <row r="37" spans="2:15" x14ac:dyDescent="0.25">
      <c r="C37" s="17"/>
      <c r="D37" s="17"/>
      <c r="E37" s="17"/>
      <c r="F37" s="17"/>
      <c r="G37" s="17"/>
      <c r="H37" s="17"/>
      <c r="I37" s="17"/>
      <c r="J37" s="17"/>
      <c r="K37">
        <v>1.7</v>
      </c>
      <c r="L37" s="4">
        <f t="shared" si="1"/>
        <v>1.300698888935321E+19</v>
      </c>
      <c r="M37" s="3">
        <f t="shared" si="12"/>
        <v>3.9593343296368935</v>
      </c>
      <c r="N37" s="4">
        <f t="shared" si="2"/>
        <v>3.2199095135704392E+19</v>
      </c>
      <c r="O37" s="3"/>
    </row>
    <row r="38" spans="2:15" x14ac:dyDescent="0.25">
      <c r="K38">
        <v>1.75</v>
      </c>
      <c r="L38" s="4">
        <f t="shared" si="1"/>
        <v>1.2623668137827975E+19</v>
      </c>
      <c r="M38" s="3">
        <f t="shared" si="12"/>
        <v>3.8426512891817439</v>
      </c>
      <c r="N38" s="4">
        <f t="shared" si="2"/>
        <v>3.3176828486351102E+19</v>
      </c>
      <c r="O38" s="3"/>
    </row>
    <row r="39" spans="2:15" x14ac:dyDescent="0.25">
      <c r="L39" s="4"/>
      <c r="M39" s="3"/>
      <c r="N39" s="4"/>
      <c r="O39" s="3"/>
    </row>
    <row r="40" spans="2:15" x14ac:dyDescent="0.25">
      <c r="G40" s="1"/>
      <c r="H40" s="1"/>
      <c r="I40" s="1"/>
      <c r="J40" s="1"/>
      <c r="K40">
        <v>1.8</v>
      </c>
      <c r="L40" s="4">
        <f t="shared" ref="L40:L45" si="14">($E$9*$E$8*($E$11-$K40*$E$12))/($E$10*($K40*$E$19-$E$18))</f>
        <v>1.226226144604051E+19</v>
      </c>
      <c r="M40" s="3">
        <f t="shared" si="12"/>
        <v>3.7326389001555729</v>
      </c>
      <c r="N40" s="4">
        <f t="shared" ref="N40:N45" si="15">($E$9*$E$8*($E$18-$K40*$E$19))/($E$10*($K40*$E$12-$E$11))</f>
        <v>3.4154652020779495E+19</v>
      </c>
      <c r="O40" s="3"/>
    </row>
    <row r="41" spans="2:15" x14ac:dyDescent="0.25">
      <c r="F41"/>
      <c r="G41" s="1"/>
      <c r="K41">
        <v>1.85</v>
      </c>
      <c r="L41" s="4">
        <f t="shared" si="14"/>
        <v>1.192094183043942E+19</v>
      </c>
      <c r="M41" s="3">
        <f t="shared" si="12"/>
        <v>3.6287410277945038</v>
      </c>
      <c r="N41" s="4">
        <f t="shared" si="15"/>
        <v>3.5132565751467639E+19</v>
      </c>
      <c r="O41" s="3"/>
    </row>
    <row r="42" spans="2:15" x14ac:dyDescent="0.25">
      <c r="F42"/>
      <c r="G42" s="1"/>
      <c r="K42">
        <v>1.9</v>
      </c>
      <c r="L42" s="4">
        <f t="shared" si="14"/>
        <v>1.1598079904646969E+19</v>
      </c>
      <c r="M42" s="3">
        <f t="shared" si="12"/>
        <v>3.530461686019323</v>
      </c>
      <c r="N42" s="4">
        <f t="shared" si="15"/>
        <v>3.6110569690895929E+19</v>
      </c>
      <c r="O42" s="3"/>
    </row>
    <row r="43" spans="2:15" x14ac:dyDescent="0.25">
      <c r="C43" s="18"/>
      <c r="D43" s="18"/>
      <c r="E43" s="18"/>
      <c r="F43" s="19"/>
      <c r="G43" s="18"/>
      <c r="H43" s="19"/>
      <c r="I43" s="19"/>
      <c r="J43" s="19"/>
      <c r="K43">
        <v>1.95</v>
      </c>
      <c r="L43" s="4">
        <f t="shared" si="14"/>
        <v>1.1292217868880288E+19</v>
      </c>
      <c r="M43" s="3">
        <f t="shared" si="12"/>
        <v>3.4373571198014705</v>
      </c>
      <c r="N43" s="4">
        <f t="shared" si="15"/>
        <v>3.708866385154705E+19</v>
      </c>
      <c r="O43" s="3"/>
    </row>
    <row r="44" spans="2:15" x14ac:dyDescent="0.25">
      <c r="C44" s="18"/>
      <c r="D44" s="18"/>
      <c r="E44" s="18"/>
      <c r="F44" s="19"/>
      <c r="G44" s="18"/>
      <c r="H44" s="19"/>
      <c r="I44" s="19"/>
      <c r="J44" s="19"/>
      <c r="K44">
        <v>2</v>
      </c>
      <c r="L44" s="4">
        <f t="shared" si="14"/>
        <v>1.1002047502642319E+19</v>
      </c>
      <c r="M44" s="3">
        <f t="shared" si="12"/>
        <v>3.3490291061264759</v>
      </c>
      <c r="N44" s="4">
        <f t="shared" si="15"/>
        <v>3.8066848245905973E+19</v>
      </c>
      <c r="O44" s="3"/>
    </row>
    <row r="45" spans="2:15" x14ac:dyDescent="0.25">
      <c r="B45" s="20"/>
      <c r="C45" s="20"/>
      <c r="D45" s="20"/>
      <c r="E45" s="20"/>
      <c r="F45" s="20"/>
      <c r="G45" s="21"/>
      <c r="H45" s="21"/>
      <c r="I45" s="21"/>
      <c r="J45" s="21"/>
      <c r="K45">
        <v>2.0499999999999998</v>
      </c>
      <c r="L45" s="4">
        <f t="shared" si="14"/>
        <v>1.0726391459829907E+19</v>
      </c>
      <c r="M45" s="3">
        <f t="shared" si="12"/>
        <v>3.2651192602149131</v>
      </c>
      <c r="N45" s="4">
        <f t="shared" si="15"/>
        <v>3.9045122886460015E+19</v>
      </c>
      <c r="O45" s="3"/>
    </row>
    <row r="46" spans="2:15" x14ac:dyDescent="0.25">
      <c r="K46">
        <v>2.1</v>
      </c>
      <c r="L46" s="4">
        <f t="shared" si="1"/>
        <v>1.0464187302211699E+19</v>
      </c>
      <c r="M46" s="3">
        <f t="shared" si="12"/>
        <v>3.1853041753045939</v>
      </c>
      <c r="N46" s="4">
        <f t="shared" si="2"/>
        <v>4.0023487785698763E+19</v>
      </c>
      <c r="O46" s="3"/>
    </row>
    <row r="47" spans="2:15" x14ac:dyDescent="0.25">
      <c r="K47">
        <v>2.15</v>
      </c>
      <c r="L47" s="4">
        <f t="shared" si="1"/>
        <v>1.0214473814706917E+19</v>
      </c>
      <c r="M47" s="3">
        <f t="shared" si="12"/>
        <v>3.1092912570141564</v>
      </c>
      <c r="N47" s="4">
        <f t="shared" si="2"/>
        <v>4.1001942956114084E+19</v>
      </c>
      <c r="O47" s="3"/>
    </row>
    <row r="48" spans="2:15" x14ac:dyDescent="0.25">
      <c r="K48">
        <v>2.2000000000000002</v>
      </c>
      <c r="L48" s="4">
        <f t="shared" si="1"/>
        <v>9.9763792308708004E+18</v>
      </c>
      <c r="M48" s="3">
        <f t="shared" si="12"/>
        <v>3.0368151391745708</v>
      </c>
      <c r="N48" s="4">
        <f t="shared" si="2"/>
        <v>4.1980488410200236E+19</v>
      </c>
      <c r="O48" s="3"/>
    </row>
    <row r="49" spans="11:15" x14ac:dyDescent="0.25">
      <c r="K49">
        <v>2.25</v>
      </c>
      <c r="L49" s="4">
        <f t="shared" si="1"/>
        <v>9.7491110645797417E+18</v>
      </c>
      <c r="M49" s="3">
        <f t="shared" si="12"/>
        <v>2.9676345885886959</v>
      </c>
      <c r="N49" s="4">
        <f t="shared" si="2"/>
        <v>4.2959124160453689E+19</v>
      </c>
      <c r="O49" s="3"/>
    </row>
    <row r="50" spans="11:15" x14ac:dyDescent="0.25">
      <c r="K50">
        <v>2.2999999999999998</v>
      </c>
      <c r="L50" s="4">
        <f t="shared" si="1"/>
        <v>9.5319472979738337E+18</v>
      </c>
      <c r="M50" s="3">
        <f t="shared" si="12"/>
        <v>2.9015298226363062</v>
      </c>
      <c r="N50" s="4">
        <f t="shared" si="2"/>
        <v>4.3937850219373265E+19</v>
      </c>
      <c r="O50" s="3"/>
    </row>
    <row r="51" spans="11:15" x14ac:dyDescent="0.25">
      <c r="K51">
        <v>2.35</v>
      </c>
      <c r="L51" s="4">
        <f t="shared" si="1"/>
        <v>9.3242287191981404E+18</v>
      </c>
      <c r="M51" s="3">
        <f t="shared" si="12"/>
        <v>2.8383001768784641</v>
      </c>
      <c r="N51" s="4">
        <f t="shared" si="2"/>
        <v>4.4916666599460127E+19</v>
      </c>
      <c r="O51" s="3"/>
    </row>
    <row r="52" spans="11:15" x14ac:dyDescent="0.25">
      <c r="K52">
        <v>2.4</v>
      </c>
      <c r="L52" s="4">
        <f t="shared" si="1"/>
        <v>9.1253522386377554E+18</v>
      </c>
      <c r="M52" s="3">
        <f t="shared" si="12"/>
        <v>2.7777620705159203</v>
      </c>
      <c r="N52" s="4">
        <f t="shared" si="2"/>
        <v>4.5895573313217667E+19</v>
      </c>
      <c r="O52" s="3"/>
    </row>
    <row r="53" spans="11:15" x14ac:dyDescent="0.25">
      <c r="K53">
        <v>2.4500000000000002</v>
      </c>
      <c r="L53" s="4">
        <f t="shared" si="1"/>
        <v>8.9347650409019607E+18</v>
      </c>
      <c r="M53" s="3">
        <f t="shared" si="12"/>
        <v>2.7197472262499809</v>
      </c>
      <c r="N53" s="4">
        <f t="shared" si="2"/>
        <v>4.6874570373151629E+19</v>
      </c>
      <c r="O53" s="3"/>
    </row>
    <row r="54" spans="11:15" x14ac:dyDescent="0.25">
      <c r="K54">
        <v>2.5</v>
      </c>
      <c r="L54" s="4">
        <f t="shared" si="1"/>
        <v>8.7519594531258993E+18</v>
      </c>
      <c r="M54" s="3">
        <f t="shared" si="12"/>
        <v>2.6641011081908146</v>
      </c>
      <c r="N54" s="4">
        <f t="shared" si="2"/>
        <v>4.7853657791770067E+19</v>
      </c>
      <c r="O54" s="3"/>
    </row>
    <row r="55" spans="11:15" x14ac:dyDescent="0.25">
      <c r="K55">
        <v>2.5499999999999998</v>
      </c>
      <c r="L55" s="4">
        <f t="shared" si="1"/>
        <v>8.5764684292731044E+18</v>
      </c>
      <c r="M55" s="3">
        <f t="shared" si="12"/>
        <v>2.6106815472767404</v>
      </c>
      <c r="N55" s="4">
        <f t="shared" si="2"/>
        <v>4.8832835581583352E+19</v>
      </c>
      <c r="O55" s="3"/>
    </row>
    <row r="56" spans="11:15" x14ac:dyDescent="0.25">
      <c r="K56">
        <v>2.6</v>
      </c>
      <c r="L56" s="4">
        <f t="shared" si="1"/>
        <v>8.4078615658632786E+18</v>
      </c>
      <c r="M56" s="3">
        <f t="shared" si="12"/>
        <v>2.5593575284596444</v>
      </c>
      <c r="N56" s="4">
        <f t="shared" si="2"/>
        <v>4.9812103755104133E+19</v>
      </c>
      <c r="O56" s="3"/>
    </row>
    <row r="57" spans="11:15" x14ac:dyDescent="0.25">
      <c r="K57">
        <v>2.65</v>
      </c>
      <c r="L57" s="4">
        <f t="shared" si="1"/>
        <v>8.2457415775652669E+18</v>
      </c>
      <c r="M57" s="3">
        <f t="shared" si="12"/>
        <v>2.5100081178736118</v>
      </c>
      <c r="N57" s="4">
        <f t="shared" si="2"/>
        <v>5.0791462324847403E+19</v>
      </c>
      <c r="O57" s="3"/>
    </row>
    <row r="58" spans="11:15" x14ac:dyDescent="0.25">
      <c r="K58">
        <v>2.7</v>
      </c>
      <c r="L58" s="4">
        <f t="shared" si="1"/>
        <v>8.0897411718999747E+18</v>
      </c>
      <c r="M58" s="3">
        <f t="shared" si="12"/>
        <v>2.462521511492834</v>
      </c>
      <c r="N58" s="4">
        <f t="shared" si="2"/>
        <v>5.1770911303330423E+19</v>
      </c>
      <c r="O58" s="3"/>
    </row>
    <row r="59" spans="11:15" x14ac:dyDescent="0.25">
      <c r="K59">
        <v>2.75</v>
      </c>
      <c r="L59" s="4">
        <f t="shared" si="1"/>
        <v>7.9395202713014405E+18</v>
      </c>
      <c r="M59" s="3">
        <f t="shared" si="12"/>
        <v>2.4167941895255183</v>
      </c>
      <c r="N59" s="4">
        <f t="shared" si="2"/>
        <v>5.2750450703072821E+19</v>
      </c>
      <c r="O59" s="3"/>
    </row>
    <row r="60" spans="11:15" x14ac:dyDescent="0.25">
      <c r="K60">
        <v>2.8</v>
      </c>
      <c r="L60" s="4">
        <f t="shared" si="1"/>
        <v>7.794763538313943E+18</v>
      </c>
      <c r="M60" s="3">
        <f t="shared" si="12"/>
        <v>2.3727301630825788</v>
      </c>
      <c r="N60" s="4">
        <f t="shared" si="2"/>
        <v>5.3730080536596488E+19</v>
      </c>
      <c r="O60" s="3"/>
    </row>
    <row r="61" spans="11:15" x14ac:dyDescent="0.25">
      <c r="K61">
        <v>2.85</v>
      </c>
      <c r="L61" s="4">
        <f t="shared" si="1"/>
        <v>7.6551781660223601E+18</v>
      </c>
      <c r="M61" s="3">
        <f t="shared" si="12"/>
        <v>2.3302403015834585</v>
      </c>
      <c r="N61" s="4">
        <f t="shared" si="2"/>
        <v>5.4709800816425656E+19</v>
      </c>
      <c r="O61" s="3"/>
    </row>
    <row r="62" spans="11:15" x14ac:dyDescent="0.25">
      <c r="K62">
        <v>2.9</v>
      </c>
      <c r="L62" s="4">
        <f t="shared" si="1"/>
        <v>7.5204919011340872E+18</v>
      </c>
      <c r="M62" s="3">
        <f t="shared" si="12"/>
        <v>2.2892417309812183</v>
      </c>
      <c r="N62" s="4">
        <f t="shared" si="2"/>
        <v>5.568961155508686E+19</v>
      </c>
      <c r="O62" s="3"/>
    </row>
    <row r="63" spans="11:15" x14ac:dyDescent="0.25">
      <c r="K63">
        <v>2.95</v>
      </c>
      <c r="L63" s="4">
        <f t="shared" si="1"/>
        <v>7.390451271626154E+18</v>
      </c>
      <c r="M63" s="3">
        <f t="shared" si="12"/>
        <v>2.2496572942573736</v>
      </c>
      <c r="N63" s="4">
        <f t="shared" si="2"/>
        <v>5.6669512765108945E+19</v>
      </c>
      <c r="O63" s="3"/>
    </row>
    <row r="64" spans="11:15" x14ac:dyDescent="0.25">
      <c r="K64">
        <v>3</v>
      </c>
      <c r="L64" s="4">
        <f t="shared" si="1"/>
        <v>7.2648199946805105E+18</v>
      </c>
      <c r="M64" s="3">
        <f t="shared" si="12"/>
        <v>2.2114150667965538</v>
      </c>
      <c r="N64" s="4">
        <f t="shared" si="2"/>
        <v>5.7649504459023065E+19</v>
      </c>
      <c r="O64" s="3"/>
    </row>
    <row r="65" spans="11:15" x14ac:dyDescent="0.25">
      <c r="K65">
        <v>4</v>
      </c>
      <c r="L65" s="4">
        <f t="shared" si="1"/>
        <v>5.4202428603002409E+18</v>
      </c>
      <c r="M65" s="3">
        <f t="shared" si="12"/>
        <v>1.6499248069107226</v>
      </c>
      <c r="N65" s="4">
        <f t="shared" si="2"/>
        <v>7.7268359273136882E+19</v>
      </c>
      <c r="O65" s="3"/>
    </row>
    <row r="66" spans="11:15" x14ac:dyDescent="0.25">
      <c r="K66">
        <v>5</v>
      </c>
      <c r="L66" s="4">
        <f t="shared" si="1"/>
        <v>4.321069873159785E+18</v>
      </c>
      <c r="M66" s="3">
        <f t="shared" si="12"/>
        <v>1.3153359655412158</v>
      </c>
      <c r="N66" s="4">
        <f t="shared" si="2"/>
        <v>9.6923513150940217E+19</v>
      </c>
      <c r="O66" s="3"/>
    </row>
    <row r="67" spans="11:15" x14ac:dyDescent="0.25">
      <c r="K67">
        <v>6</v>
      </c>
      <c r="L67" s="4">
        <f t="shared" si="1"/>
        <v>3.5914164757003453E+18</v>
      </c>
      <c r="M67" s="3">
        <f t="shared" si="12"/>
        <v>1.093229083627749</v>
      </c>
      <c r="N67" s="4">
        <f t="shared" si="2"/>
        <v>1.1661506692722491E+20</v>
      </c>
      <c r="O67" s="3"/>
    </row>
    <row r="68" spans="11:15" x14ac:dyDescent="0.25">
      <c r="K68">
        <v>7</v>
      </c>
      <c r="L68" s="4">
        <f t="shared" si="1"/>
        <v>3.0717594486292173E+18</v>
      </c>
      <c r="M68" s="3"/>
      <c r="N68" s="4">
        <f t="shared" si="2"/>
        <v>1.3634312181060624E+20</v>
      </c>
      <c r="O68" s="3"/>
    </row>
    <row r="69" spans="11:15" x14ac:dyDescent="0.25">
      <c r="K69">
        <v>8</v>
      </c>
      <c r="L69" s="4">
        <f t="shared" si="1"/>
        <v>2.6828469044053806E+18</v>
      </c>
      <c r="M69" s="3"/>
      <c r="N69" s="4">
        <f t="shared" si="2"/>
        <v>1.5610777938525671E+20</v>
      </c>
      <c r="O69" s="3"/>
    </row>
    <row r="70" spans="11:15" x14ac:dyDescent="0.25">
      <c r="K70">
        <v>9</v>
      </c>
      <c r="L70" s="4">
        <f t="shared" si="1"/>
        <v>2.3808499594612137E+18</v>
      </c>
      <c r="M70" s="3"/>
      <c r="N70" s="4">
        <f t="shared" si="2"/>
        <v>1.7590914161264974E+20</v>
      </c>
      <c r="O70" s="3"/>
    </row>
    <row r="71" spans="11:15" x14ac:dyDescent="0.25">
      <c r="K71">
        <v>10</v>
      </c>
      <c r="L71" s="4">
        <f t="shared" ref="L71:L73" si="16">($E$9*$E$8*($E$11-$K71*$E$12))/($E$10*($K71*$E$19-$E$18))</f>
        <v>2.1395607985336305E+18</v>
      </c>
      <c r="M71" s="3"/>
      <c r="N71" s="4">
        <f t="shared" ref="N71:N73" si="17">($E$9*$E$8*($E$18-$K71*$E$19))/($E$10*($K71*$E$12-$E$11))</f>
        <v>1.9574731083331305E+20</v>
      </c>
      <c r="O71" s="3"/>
    </row>
    <row r="72" spans="11:15" x14ac:dyDescent="0.25">
      <c r="K72">
        <v>100</v>
      </c>
      <c r="L72" s="4">
        <f t="shared" si="16"/>
        <v>1.9516256438030707E+17</v>
      </c>
      <c r="M72" s="3"/>
      <c r="N72" s="4">
        <f t="shared" si="17"/>
        <v>2.1459713547379194E+21</v>
      </c>
      <c r="O72" s="3"/>
    </row>
    <row r="73" spans="11:15" x14ac:dyDescent="0.25">
      <c r="K73">
        <v>1000</v>
      </c>
      <c r="L73" s="4">
        <f t="shared" si="16"/>
        <v>1700665770231094.5</v>
      </c>
      <c r="M73" s="3"/>
      <c r="N73" s="4">
        <f t="shared" si="17"/>
        <v>2.4626430425563497E+23</v>
      </c>
      <c r="O73" s="3"/>
    </row>
    <row r="74" spans="11:15" x14ac:dyDescent="0.25">
      <c r="L74" s="4"/>
      <c r="M74" s="3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34d9d5b-bad1-43ae-a310-979dd75c40ab">
      <Terms xmlns="http://schemas.microsoft.com/office/infopath/2007/PartnerControls"/>
    </lcf76f155ced4ddcb4097134ff3c332f>
    <TaxCatchAll xmlns="ad78e214-34d5-4fdd-b75d-5961e8c71fd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97729A3E6EAA4F9E1C9F13D541663D" ma:contentTypeVersion="14" ma:contentTypeDescription="Create a new document." ma:contentTypeScope="" ma:versionID="c051356ea1710f3fb5d80eaeb75cb6ec">
  <xsd:schema xmlns:xsd="http://www.w3.org/2001/XMLSchema" xmlns:xs="http://www.w3.org/2001/XMLSchema" xmlns:p="http://schemas.microsoft.com/office/2006/metadata/properties" xmlns:ns2="734d9d5b-bad1-43ae-a310-979dd75c40ab" xmlns:ns3="ad78e214-34d5-4fdd-b75d-5961e8c71fd9" targetNamespace="http://schemas.microsoft.com/office/2006/metadata/properties" ma:root="true" ma:fieldsID="1b8103a8cf90e9c87e2e092ffa6eae69" ns2:_="" ns3:_="">
    <xsd:import namespace="734d9d5b-bad1-43ae-a310-979dd75c40ab"/>
    <xsd:import namespace="ad78e214-34d5-4fdd-b75d-5961e8c71f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d9d5b-bad1-43ae-a310-979dd75c40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dc383c50-2e5a-4ee2-a287-62075b1c8a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78e214-34d5-4fdd-b75d-5961e8c71fd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7d803d5-033d-4c9d-afec-10d151e44ed4}" ma:internalName="TaxCatchAll" ma:showField="CatchAllData" ma:web="ad78e214-34d5-4fdd-b75d-5961e8c71f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509A77-8F89-478B-B78A-02F8FB02C95D}">
  <ds:schemaRefs>
    <ds:schemaRef ds:uri="http://schemas.microsoft.com/office/2006/metadata/properties"/>
    <ds:schemaRef ds:uri="http://schemas.microsoft.com/office/infopath/2007/PartnerControls"/>
    <ds:schemaRef ds:uri="734d9d5b-bad1-43ae-a310-979dd75c40ab"/>
    <ds:schemaRef ds:uri="ad78e214-34d5-4fdd-b75d-5961e8c71fd9"/>
  </ds:schemaRefs>
</ds:datastoreItem>
</file>

<file path=customXml/itemProps2.xml><?xml version="1.0" encoding="utf-8"?>
<ds:datastoreItem xmlns:ds="http://schemas.openxmlformats.org/officeDocument/2006/customXml" ds:itemID="{50E85A1D-74A2-4BE3-97D9-38C4D0641C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34d9d5b-bad1-43ae-a310-979dd75c40ab"/>
    <ds:schemaRef ds:uri="ad78e214-34d5-4fdd-b75d-5961e8c71f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9C172C-0B1C-412F-8657-D9CFB90D8B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percent of replacement</vt:lpstr>
      <vt:lpstr>Summary</vt:lpstr>
      <vt:lpstr>equations</vt:lpstr>
      <vt:lpstr>ID_min 29Si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John Ayers</cp:lastModifiedBy>
  <cp:revision/>
  <dcterms:created xsi:type="dcterms:W3CDTF">2025-02-18T16:35:43Z</dcterms:created>
  <dcterms:modified xsi:type="dcterms:W3CDTF">2026-10-12T18:40:51Z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0x0101004E97729A3E6EAA4F9E1C9F13D541663D</vt:lpwstr>
  </property>
  <property fmtid="{D5CDD505-2E9C-101B-9397-08002B2CF9AE}" pid="3" name="MediaServiceImageTags">
    <vt:lpwstr/>
  </property>
</Properties>
</file>