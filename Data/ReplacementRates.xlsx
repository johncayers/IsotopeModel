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65" documentId="8_{B43FE949-DA3E-4EB0-8999-28C438686571}" xr6:coauthVersionLast="47" xr6:coauthVersionMax="47" xr10:uidLastSave="{3656D646-8D10-460A-9C59-EC2A0306EAB7}"/>
  <bookViews>
    <workbookView xWindow="-120" yWindow="-120" windowWidth="29040" windowHeight="15720" xr2:uid="{ED2F1F37-6AA5-4E09-8403-F8EF44B11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4" i="1"/>
  <c r="L3" i="1"/>
  <c r="L2" i="1"/>
  <c r="K5" i="1"/>
  <c r="K4" i="1"/>
  <c r="K3" i="1"/>
  <c r="K2" i="1"/>
  <c r="G4" i="1"/>
  <c r="G3" i="1"/>
  <c r="G2" i="1"/>
  <c r="M4" i="1"/>
  <c r="M2" i="1" l="1"/>
  <c r="M3" i="1"/>
</calcChain>
</file>

<file path=xl/sharedStrings.xml><?xml version="1.0" encoding="utf-8"?>
<sst xmlns="http://schemas.openxmlformats.org/spreadsheetml/2006/main" count="25" uniqueCount="17">
  <si>
    <t>R_hz</t>
  </si>
  <si>
    <t>Rate (mol/kg H2O/s)</t>
  </si>
  <si>
    <t>rate (mol/kgH2O/s)</t>
  </si>
  <si>
    <t>R_fl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</si>
  <si>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mbria Math"/>
        <family val="1"/>
      </rPr>
      <t>29Si,hz</t>
    </r>
  </si>
  <si>
    <t>δ29Si,fl</t>
  </si>
  <si>
    <t>Expt</t>
  </si>
  <si>
    <t>time (d)</t>
  </si>
  <si>
    <t>% replaced</t>
  </si>
  <si>
    <r>
      <t>w</t>
    </r>
    <r>
      <rPr>
        <vertAlign val="superscript"/>
        <sz val="11"/>
        <color theme="1"/>
        <rFont val="Times New Roman"/>
        <family val="1"/>
      </rPr>
      <t>29</t>
    </r>
    <r>
      <rPr>
        <sz val="11"/>
        <color theme="1"/>
        <rFont val="Times New Roman"/>
        <family val="1"/>
      </rPr>
      <t>SiO2 (mg)</t>
    </r>
  </si>
  <si>
    <t>w_hz (mg) zircon</t>
  </si>
  <si>
    <t>w_hz (mg) fluid</t>
  </si>
  <si>
    <t>&gt;100%</t>
  </si>
  <si>
    <t>δ29Si,hz</t>
  </si>
  <si>
    <t>w29SiO2 (mg)</t>
  </si>
  <si>
    <t>Wt z (mg)</t>
  </si>
  <si>
    <t>Rate (mol/kgH2O/s)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</si>
</sst>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mbria Math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Cambria Math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1" fontId="0" fillId="0" borderId="0" xfId="0" applyNumberFormat="1"/>
    <xf numFmtId="0" fontId="1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11" fontId="1" fillId="0" borderId="0" xfId="0" applyNumberFormat="1" applyFont="1" applyBorder="1" applyAlignment="1">
      <alignment vertical="center" wrapText="1"/>
    </xf>
    <xf numFmtId="0" fontId="0" fillId="0" borderId="0" xfId="0" applyBorder="1"/>
    <xf numFmtId="11" fontId="0" fillId="0" borderId="0" xfId="0" applyNumberFormat="1" applyBorder="1"/>
    <xf numFmtId="11" fontId="1" fillId="0" borderId="0" xfId="0" applyNumberFormat="1" applyFont="1"/>
    <xf numFmtId="9" fontId="0" fillId="0" borderId="0" xfId="1" applyFont="1"/>
    <xf numFmtId="2" fontId="2" fillId="0" borderId="1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9" fontId="0" fillId="0" borderId="0" xfId="1" applyFont="1" applyAlignment="1">
      <alignment horizontal="right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outline="0">
        <left style="medium">
          <color rgb="FFA3A3A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numFmt numFmtId="15" formatCode="0.00E+00"/>
    </dxf>
    <dxf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5" formatCode="0.00E+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5" formatCode="0.00E+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A3A3A3"/>
        </right>
        <top style="medium">
          <color rgb="FFA3A3A3"/>
        </top>
        <bottom style="medium">
          <color rgb="FFA3A3A3"/>
        </bottom>
        <vertical/>
        <horizontal/>
      </border>
    </dxf>
    <dxf>
      <border outline="0">
        <left style="medium">
          <color rgb="FFA3A3A3"/>
        </left>
      </border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w_hz (mg) fluid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19</c:v>
                </c:pt>
              </c:numCache>
            </c:numRef>
          </c:xVal>
          <c:yVal>
            <c:numRef>
              <c:f>Sheet1!$K$2:$K$4</c:f>
              <c:numCache>
                <c:formatCode>0.00E+00</c:formatCode>
                <c:ptCount val="3"/>
                <c:pt idx="0">
                  <c:v>5.4879999999999995</c:v>
                </c:pt>
                <c:pt idx="1">
                  <c:v>5.7470000000000008</c:v>
                </c:pt>
                <c:pt idx="2">
                  <c:v>14.3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4-41F1-B484-3AAB94B1B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413263"/>
        <c:axId val="1211576239"/>
      </c:scatterChart>
      <c:valAx>
        <c:axId val="130941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576239"/>
        <c:crosses val="autoZero"/>
        <c:crossBetween val="midCat"/>
      </c:valAx>
      <c:valAx>
        <c:axId val="12115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41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10</xdr:row>
      <xdr:rowOff>185737</xdr:rowOff>
    </xdr:from>
    <xdr:to>
      <xdr:col>10</xdr:col>
      <xdr:colOff>428625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8BB7E-EFD9-D027-FE41-29C2695B4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2F0BD-E003-429A-BD2E-C38FFD3C2DBE}" name="Table1" displayName="Table1" ref="A1:M5" totalsRowShown="0" headerRowDxfId="11" tableBorderDxfId="10">
  <tableColumns count="13">
    <tableColumn id="1" xr3:uid="{C5F3B0EB-B503-4511-8156-8779FDC42C9A}" name="Expt" dataDxfId="9"/>
    <tableColumn id="2" xr3:uid="{5D55CEB9-E706-4717-889F-B9D4F9053C46}" name="time (d)" dataDxfId="8"/>
    <tableColumn id="3" xr3:uid="{0C06E7CC-F582-41CB-86B5-DB324F8C6A80}" name="δ29Si,hz" dataDxfId="2"/>
    <tableColumn id="4" xr3:uid="{B811CA96-5B1B-4290-89F2-64836EA639BF}" name="w29SiO2 (mg)" dataDxfId="0"/>
    <tableColumn id="5" xr3:uid="{B7E2FB19-BF04-47C0-8040-9731F0039995}" name="R_hz" dataDxfId="1"/>
    <tableColumn id="6" xr3:uid="{EC14B812-21F0-4F44-B93C-BF9010EB1BF9}" name="Rate (mol/kg H2O/s)" dataDxfId="7"/>
    <tableColumn id="7" xr3:uid="{B0D025FC-D051-4DBD-BAE9-966264FADF1D}" name="w_hz (mg) zircon" dataDxfId="6"/>
    <tableColumn id="8" xr3:uid="{F5C18C51-833B-4272-9211-D469A127D9A2}" name="δ29Si,fl" dataDxfId="5"/>
    <tableColumn id="9" xr3:uid="{C43727BF-C217-4DED-8E7B-319F37021AC6}" name="R_fl"/>
    <tableColumn id="10" xr3:uid="{54F688D4-BBDC-48C1-8C62-EC1602928FBC}" name="rate (mol/kgH2O/s)" dataDxfId="4"/>
    <tableColumn id="11" xr3:uid="{AD9BB418-18E6-48DE-841B-EE684F55DF16}" name="w_hz (mg) fluid" dataDxfId="3"/>
    <tableColumn id="12" xr3:uid="{1A3E675F-7221-48C4-B736-99FD6B65981D}" name="Wt z (mg)"/>
    <tableColumn id="13" xr3:uid="{F220BB4F-60CF-49AC-BDE8-E95BAE0E19F3}" name="% replaced" dataCellStyle="Percent">
      <calculatedColumnFormula>Table1[[#This Row],[w_hz (mg) fluid]]/Table1[[#This Row],[Wt z (mg)]]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6E99-EF30-40F6-9117-2EE405CE7E8D}">
  <dimension ref="A1:X5"/>
  <sheetViews>
    <sheetView tabSelected="1" topLeftCell="F1" workbookViewId="0">
      <selection activeCell="S2" sqref="S2:S4"/>
    </sheetView>
  </sheetViews>
  <sheetFormatPr defaultRowHeight="15" x14ac:dyDescent="0.25"/>
  <cols>
    <col min="1" max="1" width="6.5703125" customWidth="1"/>
    <col min="2" max="2" width="7" customWidth="1"/>
    <col min="3" max="3" width="11.140625" customWidth="1"/>
    <col min="4" max="4" width="9" customWidth="1"/>
    <col min="6" max="6" width="14.28515625" customWidth="1"/>
    <col min="7" max="7" width="10.28515625" customWidth="1"/>
    <col min="8" max="8" width="11.140625" customWidth="1"/>
    <col min="10" max="10" width="14.7109375" customWidth="1"/>
    <col min="11" max="11" width="9.7109375" customWidth="1"/>
    <col min="19" max="19" width="12" customWidth="1"/>
    <col min="20" max="20" width="11.28515625" customWidth="1"/>
    <col min="22" max="22" width="14.28515625" customWidth="1"/>
    <col min="23" max="23" width="11.140625" customWidth="1"/>
  </cols>
  <sheetData>
    <row r="1" spans="1:24" ht="30.75" customHeight="1" thickBot="1" x14ac:dyDescent="0.3">
      <c r="A1" s="8" t="s">
        <v>6</v>
      </c>
      <c r="B1" s="9" t="s">
        <v>7</v>
      </c>
      <c r="C1" s="7" t="s">
        <v>4</v>
      </c>
      <c r="D1" s="9" t="s">
        <v>9</v>
      </c>
      <c r="E1" s="10" t="s">
        <v>0</v>
      </c>
      <c r="F1" s="10" t="s">
        <v>1</v>
      </c>
      <c r="G1" s="10" t="s">
        <v>10</v>
      </c>
      <c r="H1" s="2" t="s">
        <v>5</v>
      </c>
      <c r="I1" s="11" t="s">
        <v>3</v>
      </c>
      <c r="J1" s="11" t="s">
        <v>2</v>
      </c>
      <c r="K1" s="11" t="s">
        <v>11</v>
      </c>
      <c r="L1" s="11" t="s">
        <v>15</v>
      </c>
      <c r="M1" s="11" t="s">
        <v>8</v>
      </c>
      <c r="O1" s="24" t="s">
        <v>6</v>
      </c>
      <c r="P1" s="24" t="s">
        <v>7</v>
      </c>
      <c r="Q1" s="24" t="s">
        <v>13</v>
      </c>
      <c r="R1" s="24" t="s">
        <v>14</v>
      </c>
      <c r="S1" s="24" t="s">
        <v>1</v>
      </c>
      <c r="T1" s="24" t="s">
        <v>10</v>
      </c>
      <c r="U1" s="24" t="s">
        <v>5</v>
      </c>
      <c r="V1" s="24" t="s">
        <v>16</v>
      </c>
      <c r="W1" s="24" t="s">
        <v>11</v>
      </c>
      <c r="X1" s="24" t="s">
        <v>8</v>
      </c>
    </row>
    <row r="2" spans="1:24" ht="15.75" thickBot="1" x14ac:dyDescent="0.3">
      <c r="A2" s="6">
        <v>14</v>
      </c>
      <c r="B2" s="1">
        <v>3</v>
      </c>
      <c r="C2" s="1">
        <v>6380</v>
      </c>
      <c r="D2" s="20">
        <v>1.768</v>
      </c>
      <c r="E2" s="4">
        <v>0.3745</v>
      </c>
      <c r="F2" s="5">
        <v>6.2400000000000004E-6</v>
      </c>
      <c r="G2" s="22">
        <f>0.0356*1000</f>
        <v>35.6</v>
      </c>
      <c r="H2" s="1">
        <v>41256.400000000001</v>
      </c>
      <c r="I2">
        <v>2.1440999999999999</v>
      </c>
      <c r="J2" s="3">
        <v>9.625999999999999E-7</v>
      </c>
      <c r="K2" s="3">
        <f>0.005488*1000</f>
        <v>5.4879999999999995</v>
      </c>
      <c r="L2" s="3">
        <f>0.0179322*1000</f>
        <v>17.932199999999998</v>
      </c>
      <c r="M2" s="19">
        <f>Table1[[#This Row],[w_hz (mg) fluid]]/Table1[[#This Row],[Wt z (mg)]]</f>
        <v>0.30604164575456444</v>
      </c>
      <c r="O2">
        <v>14</v>
      </c>
      <c r="P2">
        <v>3</v>
      </c>
      <c r="Q2">
        <v>6380</v>
      </c>
      <c r="R2">
        <v>1.768</v>
      </c>
      <c r="S2" s="3">
        <v>6.2400000000000004E-6</v>
      </c>
      <c r="T2">
        <v>35.6</v>
      </c>
      <c r="U2">
        <v>41256.400000000001</v>
      </c>
      <c r="V2">
        <v>9.625999999999999E-7</v>
      </c>
      <c r="W2">
        <v>5.4879999999999995</v>
      </c>
      <c r="X2" s="19">
        <v>0.30604164575456444</v>
      </c>
    </row>
    <row r="3" spans="1:24" ht="15.75" thickBot="1" x14ac:dyDescent="0.3">
      <c r="A3" s="6">
        <v>16</v>
      </c>
      <c r="B3" s="1">
        <v>7</v>
      </c>
      <c r="C3" s="1">
        <v>17891</v>
      </c>
      <c r="D3" s="20">
        <v>2.073</v>
      </c>
      <c r="E3" s="4">
        <v>0.95850000000000002</v>
      </c>
      <c r="F3" s="5">
        <v>1.1200000000000001E-6</v>
      </c>
      <c r="G3" s="22">
        <f>0.0149*1000</f>
        <v>14.9</v>
      </c>
      <c r="H3" s="1">
        <v>46189.2</v>
      </c>
      <c r="I3">
        <v>2.3944000000000001</v>
      </c>
      <c r="J3" s="3">
        <v>4.319E-7</v>
      </c>
      <c r="K3" s="3">
        <f>0.005747*1000</f>
        <v>5.7470000000000008</v>
      </c>
      <c r="L3" s="3">
        <f>0.0271739*1000</f>
        <v>27.1739</v>
      </c>
      <c r="M3" s="19">
        <f>Table1[[#This Row],[w_hz (mg) fluid]]/Table1[[#This Row],[Wt z (mg)]]</f>
        <v>0.21148970151505675</v>
      </c>
      <c r="O3">
        <v>16</v>
      </c>
      <c r="P3">
        <v>7</v>
      </c>
      <c r="Q3">
        <v>17891</v>
      </c>
      <c r="R3">
        <v>2.073</v>
      </c>
      <c r="S3" s="3">
        <v>1.1200000000000001E-6</v>
      </c>
      <c r="T3">
        <v>14.9</v>
      </c>
      <c r="U3">
        <v>46189.2</v>
      </c>
      <c r="V3">
        <v>4.319E-7</v>
      </c>
      <c r="W3">
        <v>5.7470000000000008</v>
      </c>
      <c r="X3" s="19">
        <v>0.21148970151505675</v>
      </c>
    </row>
    <row r="4" spans="1:24" ht="15.75" thickBot="1" x14ac:dyDescent="0.3">
      <c r="A4" s="6">
        <v>15</v>
      </c>
      <c r="B4" s="1">
        <v>19</v>
      </c>
      <c r="C4" s="1">
        <v>13253</v>
      </c>
      <c r="D4" s="20">
        <v>1.6950000000000001</v>
      </c>
      <c r="E4" s="4">
        <v>0.72319999999999995</v>
      </c>
      <c r="F4" s="5">
        <v>4.5400000000000002E-7</v>
      </c>
      <c r="G4" s="22">
        <f>0.0164*1000</f>
        <v>16.400000000000002</v>
      </c>
      <c r="H4" s="1">
        <v>15195.9</v>
      </c>
      <c r="I4">
        <v>0.82179999999999997</v>
      </c>
      <c r="J4" s="3">
        <v>3.9610000000000001E-7</v>
      </c>
      <c r="K4" s="3">
        <f>0.0143*1000</f>
        <v>14.3</v>
      </c>
      <c r="L4" s="3">
        <f>0.034789*1000</f>
        <v>34.789000000000001</v>
      </c>
      <c r="M4" s="19">
        <f>Table1[[#This Row],[w_hz (mg) fluid]]/Table1[[#This Row],[Wt z (mg)]]</f>
        <v>0.41104946965994998</v>
      </c>
      <c r="O4">
        <v>15</v>
      </c>
      <c r="P4">
        <v>19</v>
      </c>
      <c r="Q4">
        <v>13253</v>
      </c>
      <c r="R4">
        <v>1.6950000000000001</v>
      </c>
      <c r="S4" s="3">
        <v>4.5400000000000002E-7</v>
      </c>
      <c r="T4">
        <v>16.400000000000002</v>
      </c>
      <c r="U4">
        <v>15195.9</v>
      </c>
      <c r="V4">
        <v>3.9610000000000001E-7</v>
      </c>
      <c r="W4">
        <v>14.3</v>
      </c>
      <c r="X4" s="19">
        <v>0.41104946965994998</v>
      </c>
    </row>
    <row r="5" spans="1:24" x14ac:dyDescent="0.25">
      <c r="A5" s="12">
        <v>18</v>
      </c>
      <c r="B5" s="13">
        <v>1</v>
      </c>
      <c r="C5" s="13"/>
      <c r="D5" s="21">
        <v>1.5195000000000001</v>
      </c>
      <c r="E5" s="14"/>
      <c r="F5" s="15"/>
      <c r="G5" s="15"/>
      <c r="H5" s="13">
        <v>3</v>
      </c>
      <c r="I5" s="16">
        <v>5.0900000000000001E-2</v>
      </c>
      <c r="J5" s="18">
        <v>5.6919999999999998E-2</v>
      </c>
      <c r="K5" s="17">
        <f>108.2*1000</f>
        <v>108200</v>
      </c>
      <c r="L5" s="3">
        <f>0.026188*1000</f>
        <v>26.187999999999999</v>
      </c>
      <c r="M5" s="23" t="s">
        <v>12</v>
      </c>
      <c r="O5">
        <v>18</v>
      </c>
      <c r="P5">
        <v>1</v>
      </c>
      <c r="R5">
        <v>1.5195000000000001</v>
      </c>
      <c r="U5">
        <v>3</v>
      </c>
      <c r="V5">
        <v>5.6919999999999998E-2</v>
      </c>
      <c r="W5">
        <v>108200</v>
      </c>
      <c r="X5" t="s">
        <v>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2026-10-12T18:26:10Z</dcterms:created>
  <dcterms:modified xsi:type="dcterms:W3CDTF">2026-10-12T19:11:17Z</dcterms:modified>
</cp:coreProperties>
</file>