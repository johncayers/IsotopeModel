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fd3f8ffa58db1a/Documents - Zircon Recrystallization/Manuscripts/MZ_Replacement/Data/"/>
    </mc:Choice>
  </mc:AlternateContent>
  <xr:revisionPtr revIDLastSave="95" documentId="8_{83723DB2-AA15-4FBF-AF61-039A6A792131}" xr6:coauthVersionLast="47" xr6:coauthVersionMax="47" xr10:uidLastSave="{63BF2A29-9CDE-4D40-ACEC-EF3FFC8EBFD6}"/>
  <bookViews>
    <workbookView xWindow="-120" yWindow="-120" windowWidth="29040" windowHeight="15720" activeTab="1" xr2:uid="{D3811357-2CF9-4FCC-A7FB-E756A1EEF7C8}"/>
  </bookViews>
  <sheets>
    <sheet name="Data" sheetId="1" r:id="rId1"/>
    <sheet name="Tables" sheetId="2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<sst xmlns="http://schemas.openxmlformats.org/spreadsheetml/2006/main" count="171" uniqueCount="20">
  <si>
    <t>Sample</t>
  </si>
  <si>
    <t>Replaced</t>
  </si>
  <si>
    <t>d18O</t>
  </si>
  <si>
    <t>N</t>
  </si>
  <si>
    <t>Y</t>
  </si>
  <si>
    <t>d29Si</t>
  </si>
  <si>
    <t>P</t>
  </si>
  <si>
    <t>Isotope</t>
  </si>
  <si>
    <t>Row Labels</t>
  </si>
  <si>
    <t>Column Labels</t>
  </si>
  <si>
    <t>Value (per mille)</t>
  </si>
  <si>
    <t>Average of Value (per mille)</t>
  </si>
  <si>
    <t>Count of Value (per mille)</t>
  </si>
  <si>
    <t>Count</t>
  </si>
  <si>
    <t>StdDev of Value (per mille)</t>
  </si>
  <si>
    <t>Average d18O (per mille)</t>
  </si>
  <si>
    <t>StdDev</t>
  </si>
  <si>
    <t>Average d29Si (per mille)</t>
  </si>
  <si>
    <t>Experiment/ Replaced?</t>
  </si>
  <si>
    <t>Table 3: O and Si isotope compositions from time series run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</si>
</sst>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ers, John C" refreshedDate="46301.449652083335" createdVersion="8" refreshedVersion="8" minRefreshableVersion="3" recordCount="56" xr:uid="{5177EB68-652E-47FA-8776-59F3423F6508}">
  <cacheSource type="worksheet">
    <worksheetSource ref="A1:D57" sheet="Data"/>
  </cacheSource>
  <cacheFields count="4">
    <cacheField name="Sample" numFmtId="0">
      <sharedItems containsSemiMixedTypes="0" containsString="0" containsNumber="1" containsInteger="1" minValue="14" maxValue="16" count="3">
        <n v="15"/>
        <n v="16"/>
        <n v="14"/>
      </sharedItems>
    </cacheField>
    <cacheField name="Replaced" numFmtId="0">
      <sharedItems count="3">
        <s v="Y"/>
        <s v="N"/>
        <s v="P"/>
      </sharedItems>
    </cacheField>
    <cacheField name="Isotope" numFmtId="0">
      <sharedItems count="2">
        <s v="d18O"/>
        <s v="d29Si"/>
      </sharedItems>
    </cacheField>
    <cacheField name="Value (per mille)" numFmtId="0">
      <sharedItems containsSemiMixedTypes="0" containsString="0" containsNumber="1" minValue="-60.07066982342679" maxValue="36807.6193455249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-46.935335450475677"/>
  </r>
  <r>
    <x v="0"/>
    <x v="0"/>
    <x v="0"/>
    <n v="-45.522731068155522"/>
  </r>
  <r>
    <x v="0"/>
    <x v="1"/>
    <x v="0"/>
    <n v="-0.23481940973912874"/>
  </r>
  <r>
    <x v="0"/>
    <x v="1"/>
    <x v="0"/>
    <n v="-1.1459569803002889"/>
  </r>
  <r>
    <x v="0"/>
    <x v="1"/>
    <x v="0"/>
    <n v="-5.7310175444530431"/>
  </r>
  <r>
    <x v="0"/>
    <x v="1"/>
    <x v="0"/>
    <n v="-3.3459915214025804"/>
  </r>
  <r>
    <x v="0"/>
    <x v="1"/>
    <x v="0"/>
    <n v="-0.80402307241755899"/>
  </r>
  <r>
    <x v="0"/>
    <x v="0"/>
    <x v="0"/>
    <n v="-29.865163840039788"/>
  </r>
  <r>
    <x v="0"/>
    <x v="1"/>
    <x v="0"/>
    <n v="-3.3309236365186567"/>
  </r>
  <r>
    <x v="0"/>
    <x v="0"/>
    <x v="0"/>
    <n v="-48.659374543719267"/>
  </r>
  <r>
    <x v="0"/>
    <x v="1"/>
    <x v="0"/>
    <n v="-1.5126610718184663"/>
  </r>
  <r>
    <x v="1"/>
    <x v="1"/>
    <x v="0"/>
    <n v="2.7074047220527753"/>
  </r>
  <r>
    <x v="1"/>
    <x v="1"/>
    <x v="0"/>
    <n v="-5.8683730594057959"/>
  </r>
  <r>
    <x v="1"/>
    <x v="0"/>
    <x v="0"/>
    <n v="-34.298755724888167"/>
  </r>
  <r>
    <x v="1"/>
    <x v="1"/>
    <x v="0"/>
    <n v="1.1665339064244051"/>
  </r>
  <r>
    <x v="1"/>
    <x v="1"/>
    <x v="0"/>
    <n v="0.2303932516278806"/>
  </r>
  <r>
    <x v="1"/>
    <x v="0"/>
    <x v="0"/>
    <n v="-37.825152742698378"/>
  </r>
  <r>
    <x v="1"/>
    <x v="0"/>
    <x v="0"/>
    <n v="-35.08702473968561"/>
  </r>
  <r>
    <x v="1"/>
    <x v="1"/>
    <x v="0"/>
    <n v="-1.0279744779765343"/>
  </r>
  <r>
    <x v="1"/>
    <x v="1"/>
    <x v="0"/>
    <n v="1.7262009887617502"/>
  </r>
  <r>
    <x v="1"/>
    <x v="1"/>
    <x v="0"/>
    <n v="-2.1945980246566021"/>
  </r>
  <r>
    <x v="1"/>
    <x v="1"/>
    <x v="0"/>
    <n v="0.38287659390223716"/>
  </r>
  <r>
    <x v="1"/>
    <x v="1"/>
    <x v="0"/>
    <n v="0.58280281128419986"/>
  </r>
  <r>
    <x v="2"/>
    <x v="1"/>
    <x v="1"/>
    <n v="2.2225467584136016"/>
  </r>
  <r>
    <x v="2"/>
    <x v="2"/>
    <x v="1"/>
    <n v="113.38785076117274"/>
  </r>
  <r>
    <x v="2"/>
    <x v="0"/>
    <x v="1"/>
    <n v="1184.2566744884571"/>
  </r>
  <r>
    <x v="2"/>
    <x v="1"/>
    <x v="1"/>
    <n v="0.20526731035697132"/>
  </r>
  <r>
    <x v="2"/>
    <x v="1"/>
    <x v="1"/>
    <n v="0.22816519042634376"/>
  </r>
  <r>
    <x v="2"/>
    <x v="0"/>
    <x v="1"/>
    <n v="11575.638644789144"/>
  </r>
  <r>
    <x v="2"/>
    <x v="1"/>
    <x v="1"/>
    <n v="8.8590869518734294E-2"/>
  </r>
  <r>
    <x v="2"/>
    <x v="1"/>
    <x v="1"/>
    <n v="-1.4597142806458407"/>
  </r>
  <r>
    <x v="0"/>
    <x v="0"/>
    <x v="1"/>
    <n v="20051.25235313379"/>
  </r>
  <r>
    <x v="0"/>
    <x v="2"/>
    <x v="1"/>
    <n v="159.7043852195761"/>
  </r>
  <r>
    <x v="0"/>
    <x v="1"/>
    <x v="1"/>
    <n v="1.3698790409777395"/>
  </r>
  <r>
    <x v="0"/>
    <x v="1"/>
    <x v="1"/>
    <n v="0.9472813929625179"/>
  </r>
  <r>
    <x v="0"/>
    <x v="1"/>
    <x v="1"/>
    <n v="0.2028976167485208"/>
  </r>
  <r>
    <x v="0"/>
    <x v="1"/>
    <x v="1"/>
    <n v="-0.25623151858167326"/>
  </r>
  <r>
    <x v="0"/>
    <x v="1"/>
    <x v="1"/>
    <n v="2.3035673760489761"/>
  </r>
  <r>
    <x v="0"/>
    <x v="2"/>
    <x v="1"/>
    <n v="245.32213953983239"/>
  </r>
  <r>
    <x v="0"/>
    <x v="0"/>
    <x v="1"/>
    <n v="382.85714507232814"/>
  </r>
  <r>
    <x v="0"/>
    <x v="1"/>
    <x v="1"/>
    <n v="0.15414133503388605"/>
  </r>
  <r>
    <x v="0"/>
    <x v="1"/>
    <x v="1"/>
    <n v="9.7465632704674121"/>
  </r>
  <r>
    <x v="0"/>
    <x v="0"/>
    <x v="1"/>
    <n v="14949.084376704164"/>
  </r>
  <r>
    <x v="0"/>
    <x v="0"/>
    <x v="1"/>
    <n v="17631.938039757577"/>
  </r>
  <r>
    <x v="1"/>
    <x v="2"/>
    <x v="1"/>
    <n v="84.593260003938525"/>
  </r>
  <r>
    <x v="1"/>
    <x v="2"/>
    <x v="1"/>
    <n v="98.761300899681714"/>
  </r>
  <r>
    <x v="1"/>
    <x v="0"/>
    <x v="1"/>
    <n v="36807.619345524952"/>
  </r>
  <r>
    <x v="1"/>
    <x v="1"/>
    <x v="1"/>
    <n v="3.28721670268739"/>
  </r>
  <r>
    <x v="1"/>
    <x v="0"/>
    <x v="1"/>
    <n v="12989.976601765959"/>
  </r>
  <r>
    <x v="1"/>
    <x v="1"/>
    <x v="1"/>
    <n v="-60.07066982342679"/>
  </r>
  <r>
    <x v="1"/>
    <x v="2"/>
    <x v="1"/>
    <n v="111.64763735385108"/>
  </r>
  <r>
    <x v="1"/>
    <x v="1"/>
    <x v="1"/>
    <n v="-1.9181026669947698"/>
  </r>
  <r>
    <x v="1"/>
    <x v="2"/>
    <x v="1"/>
    <n v="141.87906032960052"/>
  </r>
  <r>
    <x v="1"/>
    <x v="1"/>
    <x v="1"/>
    <n v="5.9227630304465873"/>
  </r>
  <r>
    <x v="1"/>
    <x v="0"/>
    <x v="1"/>
    <n v="3875.1619440583145"/>
  </r>
  <r>
    <x v="1"/>
    <x v="1"/>
    <x v="1"/>
    <n v="-2.56856934503679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55676-8335-44B4-8D3C-14387B34BE43}" name="PivotTable4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0:J30" firstHeaderRow="1" firstDataRow="3" firstDataCol="1"/>
  <pivotFields count="4">
    <pivotField axis="axisRow" showAll="0">
      <items count="4">
        <item x="2"/>
        <item x="0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2">
    <field x="0"/>
    <field x="2"/>
  </rowFields>
  <rowItems count="8">
    <i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</rowItems>
  <colFields count="2">
    <field x="-2"/>
    <field x="1"/>
  </colFields>
  <colItems count="9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</colItems>
  <dataFields count="3">
    <dataField name="Average of Value (per mille)" fld="3" subtotal="average" baseField="0" baseItem="1"/>
    <dataField name="StdDev of Value (per mille)" fld="3" subtotal="stdDev" baseField="0" baseItem="0"/>
    <dataField name="Count of Value (per mille)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03069-9B20-4593-90B3-B2DFC85021ED}" name="PivotTable3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G17" firstHeaderRow="1" firstDataRow="3" firstDataCol="1"/>
  <pivotFields count="4">
    <pivotField axis="axisRow" showAll="0">
      <items count="4">
        <item x="2"/>
        <item x="0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12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</rowItems>
  <colFields count="2">
    <field x="2"/>
    <field x="-2"/>
  </colFields>
  <colItems count="6">
    <i>
      <x/>
      <x/>
    </i>
    <i r="1" i="1">
      <x v="1"/>
    </i>
    <i r="1" i="2">
      <x v="2"/>
    </i>
    <i>
      <x v="1"/>
      <x/>
    </i>
    <i r="1" i="1">
      <x v="1"/>
    </i>
    <i r="1" i="2">
      <x v="2"/>
    </i>
  </colItems>
  <dataFields count="3">
    <dataField name="Average of Value (per mille)" fld="3" subtotal="average" baseField="0" baseItem="1"/>
    <dataField name="StdDev of Value (per mille)" fld="3" subtotal="stdDev" baseField="0" baseItem="0"/>
    <dataField name="Count of Value (per mille)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A0F3-861F-49B9-A3B7-779490AB63CF}">
  <dimension ref="A1:D57"/>
  <sheetViews>
    <sheetView topLeftCell="A28" workbookViewId="0">
      <selection activeCell="B53" sqref="B5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7</v>
      </c>
      <c r="D1" t="s">
        <v>10</v>
      </c>
    </row>
    <row r="2" spans="1:4" x14ac:dyDescent="0.25">
      <c r="A2">
        <v>15</v>
      </c>
      <c r="B2" t="s">
        <v>4</v>
      </c>
      <c r="C2" t="s">
        <v>2</v>
      </c>
      <c r="D2">
        <v>-46.935335450475677</v>
      </c>
    </row>
    <row r="3" spans="1:4" x14ac:dyDescent="0.25">
      <c r="A3">
        <v>15</v>
      </c>
      <c r="B3" t="s">
        <v>4</v>
      </c>
      <c r="C3" t="s">
        <v>2</v>
      </c>
      <c r="D3">
        <v>-45.522731068155522</v>
      </c>
    </row>
    <row r="4" spans="1:4" x14ac:dyDescent="0.25">
      <c r="A4">
        <v>15</v>
      </c>
      <c r="B4" t="s">
        <v>3</v>
      </c>
      <c r="C4" t="s">
        <v>2</v>
      </c>
      <c r="D4">
        <v>-0.23481940973912874</v>
      </c>
    </row>
    <row r="5" spans="1:4" x14ac:dyDescent="0.25">
      <c r="A5">
        <v>15</v>
      </c>
      <c r="B5" t="s">
        <v>3</v>
      </c>
      <c r="C5" t="s">
        <v>2</v>
      </c>
      <c r="D5">
        <v>-1.1459569803002889</v>
      </c>
    </row>
    <row r="6" spans="1:4" x14ac:dyDescent="0.25">
      <c r="A6">
        <v>15</v>
      </c>
      <c r="B6" t="s">
        <v>3</v>
      </c>
      <c r="C6" t="s">
        <v>2</v>
      </c>
      <c r="D6">
        <v>-5.7310175444530431</v>
      </c>
    </row>
    <row r="7" spans="1:4" x14ac:dyDescent="0.25">
      <c r="A7">
        <v>15</v>
      </c>
      <c r="B7" t="s">
        <v>3</v>
      </c>
      <c r="C7" t="s">
        <v>2</v>
      </c>
      <c r="D7">
        <v>-3.3459915214025804</v>
      </c>
    </row>
    <row r="8" spans="1:4" x14ac:dyDescent="0.25">
      <c r="A8">
        <v>15</v>
      </c>
      <c r="B8" t="s">
        <v>3</v>
      </c>
      <c r="C8" t="s">
        <v>2</v>
      </c>
      <c r="D8">
        <v>-0.80402307241755899</v>
      </c>
    </row>
    <row r="9" spans="1:4" x14ac:dyDescent="0.25">
      <c r="A9">
        <v>15</v>
      </c>
      <c r="B9" t="s">
        <v>4</v>
      </c>
      <c r="C9" t="s">
        <v>2</v>
      </c>
      <c r="D9">
        <v>-29.865163840039788</v>
      </c>
    </row>
    <row r="10" spans="1:4" x14ac:dyDescent="0.25">
      <c r="A10">
        <v>15</v>
      </c>
      <c r="B10" t="s">
        <v>3</v>
      </c>
      <c r="C10" t="s">
        <v>2</v>
      </c>
      <c r="D10">
        <v>-3.3309236365186567</v>
      </c>
    </row>
    <row r="11" spans="1:4" x14ac:dyDescent="0.25">
      <c r="A11">
        <v>15</v>
      </c>
      <c r="B11" t="s">
        <v>4</v>
      </c>
      <c r="C11" t="s">
        <v>2</v>
      </c>
      <c r="D11">
        <v>-48.659374543719267</v>
      </c>
    </row>
    <row r="12" spans="1:4" x14ac:dyDescent="0.25">
      <c r="A12">
        <v>15</v>
      </c>
      <c r="B12" t="s">
        <v>3</v>
      </c>
      <c r="C12" t="s">
        <v>2</v>
      </c>
      <c r="D12">
        <v>-1.5126610718184663</v>
      </c>
    </row>
    <row r="13" spans="1:4" x14ac:dyDescent="0.25">
      <c r="A13">
        <v>16</v>
      </c>
      <c r="B13" t="s">
        <v>3</v>
      </c>
      <c r="C13" t="s">
        <v>2</v>
      </c>
      <c r="D13">
        <v>2.7074047220527753</v>
      </c>
    </row>
    <row r="14" spans="1:4" x14ac:dyDescent="0.25">
      <c r="A14">
        <v>16</v>
      </c>
      <c r="B14" t="s">
        <v>3</v>
      </c>
      <c r="C14" t="s">
        <v>2</v>
      </c>
      <c r="D14">
        <v>-5.8683730594057959</v>
      </c>
    </row>
    <row r="15" spans="1:4" x14ac:dyDescent="0.25">
      <c r="A15">
        <v>16</v>
      </c>
      <c r="B15" t="s">
        <v>4</v>
      </c>
      <c r="C15" t="s">
        <v>2</v>
      </c>
      <c r="D15">
        <v>-34.298755724888167</v>
      </c>
    </row>
    <row r="16" spans="1:4" x14ac:dyDescent="0.25">
      <c r="A16">
        <v>16</v>
      </c>
      <c r="B16" t="s">
        <v>3</v>
      </c>
      <c r="C16" t="s">
        <v>2</v>
      </c>
      <c r="D16">
        <v>1.1665339064244051</v>
      </c>
    </row>
    <row r="17" spans="1:4" x14ac:dyDescent="0.25">
      <c r="A17">
        <v>16</v>
      </c>
      <c r="B17" t="s">
        <v>3</v>
      </c>
      <c r="C17" t="s">
        <v>2</v>
      </c>
      <c r="D17">
        <v>0.2303932516278806</v>
      </c>
    </row>
    <row r="18" spans="1:4" x14ac:dyDescent="0.25">
      <c r="A18">
        <v>16</v>
      </c>
      <c r="B18" t="s">
        <v>4</v>
      </c>
      <c r="C18" t="s">
        <v>2</v>
      </c>
      <c r="D18">
        <v>-37.825152742698378</v>
      </c>
    </row>
    <row r="19" spans="1:4" x14ac:dyDescent="0.25">
      <c r="A19">
        <v>16</v>
      </c>
      <c r="B19" t="s">
        <v>4</v>
      </c>
      <c r="C19" t="s">
        <v>2</v>
      </c>
      <c r="D19">
        <v>-35.08702473968561</v>
      </c>
    </row>
    <row r="20" spans="1:4" x14ac:dyDescent="0.25">
      <c r="A20">
        <v>16</v>
      </c>
      <c r="B20" t="s">
        <v>3</v>
      </c>
      <c r="C20" t="s">
        <v>2</v>
      </c>
      <c r="D20">
        <v>-1.0279744779765343</v>
      </c>
    </row>
    <row r="21" spans="1:4" x14ac:dyDescent="0.25">
      <c r="A21">
        <v>16</v>
      </c>
      <c r="B21" t="s">
        <v>3</v>
      </c>
      <c r="C21" t="s">
        <v>2</v>
      </c>
      <c r="D21">
        <v>1.7262009887617502</v>
      </c>
    </row>
    <row r="22" spans="1:4" x14ac:dyDescent="0.25">
      <c r="A22">
        <v>16</v>
      </c>
      <c r="B22" t="s">
        <v>3</v>
      </c>
      <c r="C22" t="s">
        <v>2</v>
      </c>
      <c r="D22">
        <v>-2.1945980246566021</v>
      </c>
    </row>
    <row r="23" spans="1:4" x14ac:dyDescent="0.25">
      <c r="A23">
        <v>16</v>
      </c>
      <c r="B23" t="s">
        <v>3</v>
      </c>
      <c r="C23" t="s">
        <v>2</v>
      </c>
      <c r="D23">
        <v>0.38287659390223716</v>
      </c>
    </row>
    <row r="24" spans="1:4" x14ac:dyDescent="0.25">
      <c r="A24">
        <v>16</v>
      </c>
      <c r="B24" t="s">
        <v>3</v>
      </c>
      <c r="C24" t="s">
        <v>2</v>
      </c>
      <c r="D24">
        <v>0.58280281128419986</v>
      </c>
    </row>
    <row r="25" spans="1:4" x14ac:dyDescent="0.25">
      <c r="A25">
        <v>14</v>
      </c>
      <c r="B25" t="s">
        <v>3</v>
      </c>
      <c r="C25" t="s">
        <v>5</v>
      </c>
      <c r="D25">
        <v>2.2225467584136016</v>
      </c>
    </row>
    <row r="26" spans="1:4" x14ac:dyDescent="0.25">
      <c r="A26">
        <v>14</v>
      </c>
      <c r="B26" t="s">
        <v>6</v>
      </c>
      <c r="C26" t="s">
        <v>5</v>
      </c>
      <c r="D26">
        <v>113.38785076117274</v>
      </c>
    </row>
    <row r="27" spans="1:4" x14ac:dyDescent="0.25">
      <c r="A27">
        <v>14</v>
      </c>
      <c r="B27" t="s">
        <v>4</v>
      </c>
      <c r="C27" t="s">
        <v>5</v>
      </c>
      <c r="D27">
        <v>1184.2566744884571</v>
      </c>
    </row>
    <row r="28" spans="1:4" x14ac:dyDescent="0.25">
      <c r="A28">
        <v>14</v>
      </c>
      <c r="B28" t="s">
        <v>3</v>
      </c>
      <c r="C28" t="s">
        <v>5</v>
      </c>
      <c r="D28">
        <v>0.20526731035697132</v>
      </c>
    </row>
    <row r="29" spans="1:4" x14ac:dyDescent="0.25">
      <c r="A29">
        <v>14</v>
      </c>
      <c r="B29" t="s">
        <v>3</v>
      </c>
      <c r="C29" t="s">
        <v>5</v>
      </c>
      <c r="D29">
        <v>0.22816519042634376</v>
      </c>
    </row>
    <row r="30" spans="1:4" x14ac:dyDescent="0.25">
      <c r="A30">
        <v>14</v>
      </c>
      <c r="B30" t="s">
        <v>4</v>
      </c>
      <c r="C30" t="s">
        <v>5</v>
      </c>
      <c r="D30">
        <v>11575.638644789144</v>
      </c>
    </row>
    <row r="31" spans="1:4" x14ac:dyDescent="0.25">
      <c r="A31">
        <v>14</v>
      </c>
      <c r="B31" t="s">
        <v>3</v>
      </c>
      <c r="C31" t="s">
        <v>5</v>
      </c>
      <c r="D31">
        <v>8.8590869518734294E-2</v>
      </c>
    </row>
    <row r="32" spans="1:4" x14ac:dyDescent="0.25">
      <c r="A32">
        <v>14</v>
      </c>
      <c r="B32" t="s">
        <v>3</v>
      </c>
      <c r="C32" t="s">
        <v>5</v>
      </c>
      <c r="D32">
        <v>-1.4597142806458407</v>
      </c>
    </row>
    <row r="33" spans="1:4" x14ac:dyDescent="0.25">
      <c r="A33">
        <v>15</v>
      </c>
      <c r="B33" t="s">
        <v>4</v>
      </c>
      <c r="C33" t="s">
        <v>5</v>
      </c>
      <c r="D33">
        <v>20051.25235313379</v>
      </c>
    </row>
    <row r="34" spans="1:4" x14ac:dyDescent="0.25">
      <c r="A34">
        <v>15</v>
      </c>
      <c r="B34" t="s">
        <v>6</v>
      </c>
      <c r="C34" t="s">
        <v>5</v>
      </c>
      <c r="D34">
        <v>159.7043852195761</v>
      </c>
    </row>
    <row r="35" spans="1:4" x14ac:dyDescent="0.25">
      <c r="A35">
        <v>15</v>
      </c>
      <c r="B35" t="s">
        <v>3</v>
      </c>
      <c r="C35" t="s">
        <v>5</v>
      </c>
      <c r="D35">
        <v>1.3698790409777395</v>
      </c>
    </row>
    <row r="36" spans="1:4" x14ac:dyDescent="0.25">
      <c r="A36">
        <v>15</v>
      </c>
      <c r="B36" t="s">
        <v>3</v>
      </c>
      <c r="C36" t="s">
        <v>5</v>
      </c>
      <c r="D36">
        <v>0.9472813929625179</v>
      </c>
    </row>
    <row r="37" spans="1:4" x14ac:dyDescent="0.25">
      <c r="A37">
        <v>15</v>
      </c>
      <c r="B37" t="s">
        <v>3</v>
      </c>
      <c r="C37" t="s">
        <v>5</v>
      </c>
      <c r="D37">
        <v>0.2028976167485208</v>
      </c>
    </row>
    <row r="38" spans="1:4" x14ac:dyDescent="0.25">
      <c r="A38">
        <v>15</v>
      </c>
      <c r="B38" t="s">
        <v>3</v>
      </c>
      <c r="C38" t="s">
        <v>5</v>
      </c>
      <c r="D38">
        <v>-0.25623151858167326</v>
      </c>
    </row>
    <row r="39" spans="1:4" x14ac:dyDescent="0.25">
      <c r="A39">
        <v>15</v>
      </c>
      <c r="B39" t="s">
        <v>3</v>
      </c>
      <c r="C39" t="s">
        <v>5</v>
      </c>
      <c r="D39">
        <v>2.3035673760489761</v>
      </c>
    </row>
    <row r="40" spans="1:4" x14ac:dyDescent="0.25">
      <c r="A40">
        <v>15</v>
      </c>
      <c r="B40" t="s">
        <v>6</v>
      </c>
      <c r="C40" t="s">
        <v>5</v>
      </c>
      <c r="D40">
        <v>245.32213953983239</v>
      </c>
    </row>
    <row r="41" spans="1:4" x14ac:dyDescent="0.25">
      <c r="A41">
        <v>15</v>
      </c>
      <c r="B41" t="s">
        <v>4</v>
      </c>
      <c r="C41" t="s">
        <v>5</v>
      </c>
      <c r="D41">
        <v>382.85714507232814</v>
      </c>
    </row>
    <row r="42" spans="1:4" x14ac:dyDescent="0.25">
      <c r="A42">
        <v>15</v>
      </c>
      <c r="B42" t="s">
        <v>3</v>
      </c>
      <c r="C42" t="s">
        <v>5</v>
      </c>
      <c r="D42">
        <v>0.15414133503388605</v>
      </c>
    </row>
    <row r="43" spans="1:4" x14ac:dyDescent="0.25">
      <c r="A43">
        <v>15</v>
      </c>
      <c r="B43" t="s">
        <v>3</v>
      </c>
      <c r="C43" t="s">
        <v>5</v>
      </c>
      <c r="D43">
        <v>9.7465632704674121</v>
      </c>
    </row>
    <row r="44" spans="1:4" x14ac:dyDescent="0.25">
      <c r="A44">
        <v>15</v>
      </c>
      <c r="B44" t="s">
        <v>4</v>
      </c>
      <c r="C44" t="s">
        <v>5</v>
      </c>
      <c r="D44">
        <v>14949.084376704164</v>
      </c>
    </row>
    <row r="45" spans="1:4" x14ac:dyDescent="0.25">
      <c r="A45">
        <v>15</v>
      </c>
      <c r="B45" t="s">
        <v>4</v>
      </c>
      <c r="C45" t="s">
        <v>5</v>
      </c>
      <c r="D45">
        <v>17631.938039757577</v>
      </c>
    </row>
    <row r="46" spans="1:4" x14ac:dyDescent="0.25">
      <c r="A46">
        <v>16</v>
      </c>
      <c r="B46" t="s">
        <v>6</v>
      </c>
      <c r="C46" t="s">
        <v>5</v>
      </c>
      <c r="D46">
        <v>84.593260003938525</v>
      </c>
    </row>
    <row r="47" spans="1:4" x14ac:dyDescent="0.25">
      <c r="A47">
        <v>16</v>
      </c>
      <c r="B47" t="s">
        <v>6</v>
      </c>
      <c r="C47" t="s">
        <v>5</v>
      </c>
      <c r="D47">
        <v>98.761300899681714</v>
      </c>
    </row>
    <row r="48" spans="1:4" x14ac:dyDescent="0.25">
      <c r="A48">
        <v>16</v>
      </c>
      <c r="B48" t="s">
        <v>4</v>
      </c>
      <c r="C48" t="s">
        <v>5</v>
      </c>
      <c r="D48">
        <v>36807.619345524952</v>
      </c>
    </row>
    <row r="49" spans="1:4" x14ac:dyDescent="0.25">
      <c r="A49">
        <v>16</v>
      </c>
      <c r="B49" t="s">
        <v>3</v>
      </c>
      <c r="C49" t="s">
        <v>5</v>
      </c>
      <c r="D49">
        <v>3.28721670268739</v>
      </c>
    </row>
    <row r="50" spans="1:4" x14ac:dyDescent="0.25">
      <c r="A50">
        <v>16</v>
      </c>
      <c r="B50" t="s">
        <v>4</v>
      </c>
      <c r="C50" t="s">
        <v>5</v>
      </c>
      <c r="D50">
        <v>12989.976601765959</v>
      </c>
    </row>
    <row r="51" spans="1:4" x14ac:dyDescent="0.25">
      <c r="A51">
        <v>16</v>
      </c>
      <c r="B51" t="s">
        <v>3</v>
      </c>
      <c r="C51" t="s">
        <v>5</v>
      </c>
      <c r="D51">
        <v>-60.07066982342679</v>
      </c>
    </row>
    <row r="52" spans="1:4" x14ac:dyDescent="0.25">
      <c r="A52">
        <v>16</v>
      </c>
      <c r="B52" t="s">
        <v>6</v>
      </c>
      <c r="C52" t="s">
        <v>5</v>
      </c>
      <c r="D52">
        <v>111.64763735385108</v>
      </c>
    </row>
    <row r="53" spans="1:4" x14ac:dyDescent="0.25">
      <c r="A53">
        <v>16</v>
      </c>
      <c r="B53" t="s">
        <v>3</v>
      </c>
      <c r="C53" t="s">
        <v>5</v>
      </c>
      <c r="D53">
        <v>-1.9181026669947698</v>
      </c>
    </row>
    <row r="54" spans="1:4" x14ac:dyDescent="0.25">
      <c r="A54">
        <v>16</v>
      </c>
      <c r="B54" t="s">
        <v>6</v>
      </c>
      <c r="C54" t="s">
        <v>5</v>
      </c>
      <c r="D54">
        <v>141.87906032960052</v>
      </c>
    </row>
    <row r="55" spans="1:4" x14ac:dyDescent="0.25">
      <c r="A55">
        <v>16</v>
      </c>
      <c r="B55" t="s">
        <v>3</v>
      </c>
      <c r="C55" t="s">
        <v>5</v>
      </c>
      <c r="D55">
        <v>5.9227630304465873</v>
      </c>
    </row>
    <row r="56" spans="1:4" x14ac:dyDescent="0.25">
      <c r="A56">
        <v>16</v>
      </c>
      <c r="B56" t="s">
        <v>4</v>
      </c>
      <c r="C56" t="s">
        <v>5</v>
      </c>
      <c r="D56">
        <v>3875.1619440583145</v>
      </c>
    </row>
    <row r="57" spans="1:4" x14ac:dyDescent="0.25">
      <c r="A57">
        <v>16</v>
      </c>
      <c r="B57" t="s">
        <v>3</v>
      </c>
      <c r="C57" t="s">
        <v>5</v>
      </c>
      <c r="D57">
        <v>-2.5685693450367975</v>
      </c>
    </row>
  </sheetData>
  <sortState xmlns:xlrd2="http://schemas.microsoft.com/office/spreadsheetml/2017/richdata2" ref="A2:D24">
    <sortCondition ref="A2:A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BEAC-106C-47F2-98A5-D0466E11E0A5}">
  <dimension ref="A2:Q30"/>
  <sheetViews>
    <sheetView tabSelected="1" topLeftCell="D1" workbookViewId="0">
      <selection activeCell="O13" sqref="O13:Q15"/>
    </sheetView>
  </sheetViews>
  <sheetFormatPr defaultRowHeight="15" x14ac:dyDescent="0.25"/>
  <cols>
    <col min="1" max="1" width="13.42578125" bestFit="1" customWidth="1"/>
    <col min="2" max="2" width="26.28515625" bestFit="1" customWidth="1"/>
    <col min="3" max="3" width="25.7109375" bestFit="1" customWidth="1"/>
    <col min="4" max="4" width="24.5703125" bestFit="1" customWidth="1"/>
    <col min="5" max="5" width="26.28515625" bestFit="1" customWidth="1"/>
    <col min="6" max="6" width="25.7109375" bestFit="1" customWidth="1"/>
    <col min="7" max="8" width="24.5703125" bestFit="1" customWidth="1"/>
    <col min="9" max="10" width="2.140625" bestFit="1" customWidth="1"/>
    <col min="11" max="11" width="11.42578125" customWidth="1"/>
    <col min="12" max="12" width="11.85546875" customWidth="1"/>
    <col min="13" max="13" width="6.5703125" bestFit="1" customWidth="1"/>
    <col min="14" max="14" width="5.7109375" bestFit="1" customWidth="1"/>
    <col min="15" max="15" width="12.140625" customWidth="1"/>
    <col min="16" max="16" width="7.42578125" bestFit="1" customWidth="1"/>
    <col min="17" max="17" width="5.7109375" bestFit="1" customWidth="1"/>
    <col min="18" max="18" width="23.140625" bestFit="1" customWidth="1"/>
    <col min="19" max="19" width="22.28515625" bestFit="1" customWidth="1"/>
    <col min="20" max="20" width="23.7109375" bestFit="1" customWidth="1"/>
    <col min="21" max="21" width="23.140625" bestFit="1" customWidth="1"/>
    <col min="22" max="22" width="22.28515625" bestFit="1" customWidth="1"/>
    <col min="23" max="23" width="26.140625" bestFit="1" customWidth="1"/>
    <col min="24" max="24" width="25.5703125" bestFit="1" customWidth="1"/>
    <col min="25" max="25" width="24.5703125" bestFit="1" customWidth="1"/>
    <col min="26" max="26" width="23.7109375" bestFit="1" customWidth="1"/>
    <col min="27" max="27" width="23.140625" bestFit="1" customWidth="1"/>
    <col min="28" max="28" width="22.28515625" bestFit="1" customWidth="1"/>
    <col min="29" max="29" width="23.7109375" bestFit="1" customWidth="1"/>
    <col min="30" max="30" width="23.140625" bestFit="1" customWidth="1"/>
    <col min="31" max="31" width="22.28515625" bestFit="1" customWidth="1"/>
    <col min="32" max="32" width="23.7109375" bestFit="1" customWidth="1"/>
    <col min="33" max="33" width="23.140625" bestFit="1" customWidth="1"/>
    <col min="34" max="34" width="22.28515625" bestFit="1" customWidth="1"/>
    <col min="35" max="35" width="26.140625" bestFit="1" customWidth="1"/>
    <col min="36" max="36" width="25.5703125" bestFit="1" customWidth="1"/>
    <col min="37" max="37" width="24.5703125" bestFit="1" customWidth="1"/>
  </cols>
  <sheetData>
    <row r="2" spans="1:17" x14ac:dyDescent="0.25">
      <c r="J2" s="4"/>
      <c r="K2" t="s">
        <v>19</v>
      </c>
      <c r="M2" s="4"/>
    </row>
    <row r="3" spans="1:17" ht="45" x14ac:dyDescent="0.25">
      <c r="B3" s="1" t="s">
        <v>9</v>
      </c>
      <c r="K3" s="4" t="s">
        <v>18</v>
      </c>
      <c r="L3" s="4" t="s">
        <v>15</v>
      </c>
      <c r="M3" s="6" t="s">
        <v>16</v>
      </c>
      <c r="N3" s="6" t="s">
        <v>13</v>
      </c>
      <c r="O3" s="4" t="s">
        <v>17</v>
      </c>
      <c r="P3" s="4" t="s">
        <v>16</v>
      </c>
      <c r="Q3" s="4" t="s">
        <v>13</v>
      </c>
    </row>
    <row r="4" spans="1:17" x14ac:dyDescent="0.25">
      <c r="B4" t="s">
        <v>2</v>
      </c>
      <c r="E4" t="s">
        <v>5</v>
      </c>
      <c r="J4" s="3"/>
      <c r="K4" s="7">
        <v>14</v>
      </c>
      <c r="M4" s="3"/>
      <c r="N4" s="3"/>
      <c r="O4" s="3">
        <v>1609.3210032358554</v>
      </c>
      <c r="P4" s="3">
        <v>4047.7758469732539</v>
      </c>
      <c r="Q4">
        <v>8</v>
      </c>
    </row>
    <row r="5" spans="1:17" x14ac:dyDescent="0.25">
      <c r="A5" s="1" t="s">
        <v>8</v>
      </c>
      <c r="B5" t="s">
        <v>11</v>
      </c>
      <c r="C5" t="s">
        <v>14</v>
      </c>
      <c r="D5" t="s">
        <v>12</v>
      </c>
      <c r="E5" t="s">
        <v>11</v>
      </c>
      <c r="F5" t="s">
        <v>14</v>
      </c>
      <c r="G5" t="s">
        <v>12</v>
      </c>
      <c r="J5" s="3"/>
      <c r="K5" s="8" t="s">
        <v>3</v>
      </c>
      <c r="M5" s="3"/>
      <c r="N5" s="3"/>
      <c r="O5" s="3">
        <v>0.25697116961396205</v>
      </c>
      <c r="P5" s="3">
        <v>1.3078944270637762</v>
      </c>
      <c r="Q5">
        <v>5</v>
      </c>
    </row>
    <row r="6" spans="1:17" x14ac:dyDescent="0.25">
      <c r="A6" s="2">
        <v>14</v>
      </c>
      <c r="B6" s="10"/>
      <c r="C6" s="10"/>
      <c r="D6" s="10"/>
      <c r="E6" s="10">
        <v>1609.3210032358554</v>
      </c>
      <c r="F6" s="10">
        <v>4047.7758469732539</v>
      </c>
      <c r="G6" s="10">
        <v>8</v>
      </c>
      <c r="K6" s="9" t="s">
        <v>6</v>
      </c>
      <c r="O6" s="3">
        <v>113.38785076117274</v>
      </c>
      <c r="P6" s="3"/>
      <c r="Q6">
        <v>1</v>
      </c>
    </row>
    <row r="7" spans="1:17" x14ac:dyDescent="0.25">
      <c r="A7" s="5" t="s">
        <v>3</v>
      </c>
      <c r="B7" s="10"/>
      <c r="C7" s="10"/>
      <c r="D7" s="10"/>
      <c r="E7" s="10">
        <v>0.25697116961396205</v>
      </c>
      <c r="F7" s="10">
        <v>1.3078944270637762</v>
      </c>
      <c r="G7" s="10">
        <v>5</v>
      </c>
      <c r="K7" s="9" t="s">
        <v>4</v>
      </c>
      <c r="O7" s="3">
        <v>6379.9476596388004</v>
      </c>
      <c r="P7" s="3">
        <v>7347.8166570992435</v>
      </c>
      <c r="Q7">
        <v>2</v>
      </c>
    </row>
    <row r="8" spans="1:17" x14ac:dyDescent="0.25">
      <c r="A8" s="5" t="s">
        <v>6</v>
      </c>
      <c r="B8" s="10"/>
      <c r="C8" s="10"/>
      <c r="D8" s="10"/>
      <c r="E8" s="10">
        <v>113.38785076117274</v>
      </c>
      <c r="F8" s="10" t="e">
        <v>#DIV/0!</v>
      </c>
      <c r="G8" s="10">
        <v>1</v>
      </c>
      <c r="K8" s="2">
        <v>15</v>
      </c>
      <c r="L8" s="3">
        <v>-17.007999830821817</v>
      </c>
      <c r="M8" s="3">
        <v>21.005601841024671</v>
      </c>
      <c r="N8">
        <v>11</v>
      </c>
      <c r="O8" s="3">
        <v>4110.3558875339177</v>
      </c>
      <c r="P8" s="3">
        <v>7729.8669842106201</v>
      </c>
      <c r="Q8">
        <v>13</v>
      </c>
    </row>
    <row r="9" spans="1:17" x14ac:dyDescent="0.25">
      <c r="A9" s="5" t="s">
        <v>4</v>
      </c>
      <c r="B9" s="10"/>
      <c r="C9" s="10"/>
      <c r="D9" s="10"/>
      <c r="E9" s="10">
        <v>6379.9476596388004</v>
      </c>
      <c r="F9" s="10">
        <v>7347.8166570992435</v>
      </c>
      <c r="G9" s="10">
        <v>2</v>
      </c>
      <c r="K9" s="9" t="s">
        <v>3</v>
      </c>
      <c r="L9" s="3">
        <v>-2.3007704623785323</v>
      </c>
      <c r="M9" s="3">
        <v>1.931468127255987</v>
      </c>
      <c r="N9">
        <v>7</v>
      </c>
      <c r="O9" s="3">
        <v>2.0668712162367684</v>
      </c>
      <c r="P9" s="3">
        <v>3.4952995598658685</v>
      </c>
      <c r="Q9">
        <v>7</v>
      </c>
    </row>
    <row r="10" spans="1:17" x14ac:dyDescent="0.25">
      <c r="A10" s="2">
        <v>15</v>
      </c>
      <c r="B10" s="10">
        <v>-17.007999830821817</v>
      </c>
      <c r="C10" s="10">
        <v>21.005601841024671</v>
      </c>
      <c r="D10" s="10">
        <v>11</v>
      </c>
      <c r="E10" s="10">
        <v>4110.3558875339177</v>
      </c>
      <c r="F10" s="10">
        <v>7729.8669842106201</v>
      </c>
      <c r="G10" s="10">
        <v>13</v>
      </c>
      <c r="K10" s="9" t="s">
        <v>6</v>
      </c>
      <c r="L10" s="3"/>
      <c r="M10" s="3"/>
      <c r="O10" s="3">
        <v>202.51326237970426</v>
      </c>
      <c r="P10" s="3">
        <v>60.540894669816936</v>
      </c>
      <c r="Q10">
        <v>2</v>
      </c>
    </row>
    <row r="11" spans="1:17" x14ac:dyDescent="0.25">
      <c r="A11" s="5" t="s">
        <v>3</v>
      </c>
      <c r="B11" s="10">
        <v>-2.3007704623785323</v>
      </c>
      <c r="C11" s="10">
        <v>1.931468127255987</v>
      </c>
      <c r="D11" s="10">
        <v>7</v>
      </c>
      <c r="E11" s="10">
        <v>2.0668712162367684</v>
      </c>
      <c r="F11" s="10">
        <v>3.4952995598658685</v>
      </c>
      <c r="G11" s="10">
        <v>7</v>
      </c>
      <c r="K11" s="9" t="s">
        <v>4</v>
      </c>
      <c r="L11" s="3">
        <v>-42.745651225597562</v>
      </c>
      <c r="M11" s="3">
        <v>8.6822559497122889</v>
      </c>
      <c r="N11">
        <v>4</v>
      </c>
      <c r="O11" s="3">
        <v>13253.782978666964</v>
      </c>
      <c r="P11" s="3">
        <v>8830.0360565486644</v>
      </c>
      <c r="Q11">
        <v>4</v>
      </c>
    </row>
    <row r="12" spans="1:17" x14ac:dyDescent="0.25">
      <c r="A12" s="5" t="s">
        <v>6</v>
      </c>
      <c r="B12" s="10"/>
      <c r="C12" s="10"/>
      <c r="D12" s="10"/>
      <c r="E12" s="10">
        <v>202.51326237970426</v>
      </c>
      <c r="F12" s="10">
        <v>60.540894669816936</v>
      </c>
      <c r="G12" s="10">
        <v>2</v>
      </c>
      <c r="K12" s="2">
        <v>16</v>
      </c>
      <c r="L12" s="3">
        <v>-9.1254722079381523</v>
      </c>
      <c r="M12" s="3">
        <v>16.213002508439967</v>
      </c>
      <c r="N12">
        <v>12</v>
      </c>
      <c r="O12" s="3">
        <v>4504.5243156528313</v>
      </c>
      <c r="P12" s="3">
        <v>10850.728972965622</v>
      </c>
      <c r="Q12">
        <v>12</v>
      </c>
    </row>
    <row r="13" spans="1:17" x14ac:dyDescent="0.25">
      <c r="A13" s="5" t="s">
        <v>4</v>
      </c>
      <c r="B13" s="10">
        <v>-42.745651225597562</v>
      </c>
      <c r="C13" s="10">
        <v>8.6822559497122889</v>
      </c>
      <c r="D13" s="10">
        <v>4</v>
      </c>
      <c r="E13" s="10">
        <v>13253.782978666964</v>
      </c>
      <c r="F13" s="10">
        <v>8830.0360565486644</v>
      </c>
      <c r="G13" s="10">
        <v>4</v>
      </c>
      <c r="K13" s="9" t="s">
        <v>3</v>
      </c>
      <c r="L13" s="3">
        <v>-0.25497036533174267</v>
      </c>
      <c r="M13" s="3">
        <v>2.5479317982338396</v>
      </c>
      <c r="N13">
        <v>9</v>
      </c>
      <c r="O13" s="3">
        <v>-11.069472420464876</v>
      </c>
      <c r="P13" s="3">
        <v>27.622368003959412</v>
      </c>
      <c r="Q13">
        <v>5</v>
      </c>
    </row>
    <row r="14" spans="1:17" x14ac:dyDescent="0.25">
      <c r="A14" s="2">
        <v>16</v>
      </c>
      <c r="B14" s="10">
        <v>-9.1254722079381523</v>
      </c>
      <c r="C14" s="10">
        <v>16.213002508439967</v>
      </c>
      <c r="D14" s="10">
        <v>12</v>
      </c>
      <c r="E14" s="10">
        <v>4504.5243156528313</v>
      </c>
      <c r="F14" s="10">
        <v>10850.728972965622</v>
      </c>
      <c r="G14" s="10">
        <v>12</v>
      </c>
      <c r="K14" s="9" t="s">
        <v>6</v>
      </c>
      <c r="L14" s="3"/>
      <c r="M14" s="3"/>
      <c r="O14" s="3">
        <v>109.22031464676796</v>
      </c>
      <c r="P14" s="3">
        <v>24.415625830213031</v>
      </c>
      <c r="Q14">
        <v>4</v>
      </c>
    </row>
    <row r="15" spans="1:17" x14ac:dyDescent="0.25">
      <c r="A15" s="5" t="s">
        <v>3</v>
      </c>
      <c r="B15" s="10">
        <v>-0.25497036533174267</v>
      </c>
      <c r="C15" s="10">
        <v>2.5479317982338396</v>
      </c>
      <c r="D15" s="10">
        <v>9</v>
      </c>
      <c r="E15" s="10">
        <v>-11.069472420464876</v>
      </c>
      <c r="F15" s="10">
        <v>27.622368003959412</v>
      </c>
      <c r="G15" s="10">
        <v>5</v>
      </c>
      <c r="K15" s="9" t="s">
        <v>4</v>
      </c>
      <c r="L15" s="3">
        <v>-35.736977735757385</v>
      </c>
      <c r="M15" s="3">
        <v>1.8508641642844912</v>
      </c>
      <c r="N15">
        <v>3</v>
      </c>
      <c r="O15" s="3">
        <v>17890.919297116408</v>
      </c>
      <c r="P15" s="3">
        <v>17004.444039785169</v>
      </c>
      <c r="Q15">
        <v>3</v>
      </c>
    </row>
    <row r="16" spans="1:17" x14ac:dyDescent="0.25">
      <c r="A16" s="5" t="s">
        <v>6</v>
      </c>
      <c r="B16" s="10"/>
      <c r="C16" s="10"/>
      <c r="D16" s="10"/>
      <c r="E16" s="10">
        <v>109.22031464676796</v>
      </c>
      <c r="F16" s="10">
        <v>24.415625830213031</v>
      </c>
      <c r="G16" s="10">
        <v>4</v>
      </c>
    </row>
    <row r="17" spans="1:10" x14ac:dyDescent="0.25">
      <c r="A17" s="5" t="s">
        <v>4</v>
      </c>
      <c r="B17" s="10">
        <v>-35.736977735757385</v>
      </c>
      <c r="C17" s="10">
        <v>1.8508641642844912</v>
      </c>
      <c r="D17" s="10">
        <v>3</v>
      </c>
      <c r="E17" s="10">
        <v>17890.919297116408</v>
      </c>
      <c r="F17" s="10">
        <v>17004.444039785169</v>
      </c>
      <c r="G17" s="10">
        <v>3</v>
      </c>
    </row>
    <row r="20" spans="1:10" x14ac:dyDescent="0.25">
      <c r="B20" s="1" t="s">
        <v>9</v>
      </c>
    </row>
    <row r="21" spans="1:10" x14ac:dyDescent="0.25">
      <c r="B21" t="s">
        <v>11</v>
      </c>
      <c r="E21" t="s">
        <v>14</v>
      </c>
      <c r="H21" t="s">
        <v>12</v>
      </c>
    </row>
    <row r="22" spans="1:10" x14ac:dyDescent="0.25">
      <c r="A22" s="1" t="s">
        <v>8</v>
      </c>
      <c r="B22" t="s">
        <v>3</v>
      </c>
      <c r="C22" t="s">
        <v>6</v>
      </c>
      <c r="D22" t="s">
        <v>4</v>
      </c>
      <c r="E22" t="s">
        <v>3</v>
      </c>
      <c r="F22" t="s">
        <v>6</v>
      </c>
      <c r="G22" t="s">
        <v>4</v>
      </c>
      <c r="H22" t="s">
        <v>3</v>
      </c>
      <c r="I22" t="s">
        <v>6</v>
      </c>
      <c r="J22" t="s">
        <v>4</v>
      </c>
    </row>
    <row r="23" spans="1:10" x14ac:dyDescent="0.25">
      <c r="A23" s="2">
        <v>14</v>
      </c>
      <c r="B23" s="10">
        <v>0.25697116961396205</v>
      </c>
      <c r="C23" s="10">
        <v>113.38785076117274</v>
      </c>
      <c r="D23" s="10">
        <v>6379.9476596388004</v>
      </c>
      <c r="E23" s="10">
        <v>1.3078944270637762</v>
      </c>
      <c r="F23" s="10" t="e">
        <v>#DIV/0!</v>
      </c>
      <c r="G23" s="10">
        <v>7347.8166570992435</v>
      </c>
      <c r="H23" s="10">
        <v>5</v>
      </c>
      <c r="I23" s="10">
        <v>1</v>
      </c>
      <c r="J23" s="10">
        <v>2</v>
      </c>
    </row>
    <row r="24" spans="1:10" x14ac:dyDescent="0.25">
      <c r="A24" s="5" t="s">
        <v>5</v>
      </c>
      <c r="B24" s="10">
        <v>0.25697116961396205</v>
      </c>
      <c r="C24" s="10">
        <v>113.38785076117274</v>
      </c>
      <c r="D24" s="10">
        <v>6379.9476596388004</v>
      </c>
      <c r="E24" s="10">
        <v>1.3078944270637762</v>
      </c>
      <c r="F24" s="10" t="e">
        <v>#DIV/0!</v>
      </c>
      <c r="G24" s="10">
        <v>7347.8166570992435</v>
      </c>
      <c r="H24" s="10">
        <v>5</v>
      </c>
      <c r="I24" s="10">
        <v>1</v>
      </c>
      <c r="J24" s="10">
        <v>2</v>
      </c>
    </row>
    <row r="25" spans="1:10" x14ac:dyDescent="0.25">
      <c r="A25" s="2">
        <v>15</v>
      </c>
      <c r="B25" s="10">
        <v>-0.11694962307088184</v>
      </c>
      <c r="C25" s="10">
        <v>202.51326237970426</v>
      </c>
      <c r="D25" s="10">
        <v>6605.5186637206843</v>
      </c>
      <c r="E25" s="10">
        <v>3.5350242873014746</v>
      </c>
      <c r="F25" s="10">
        <v>60.540894669816936</v>
      </c>
      <c r="G25" s="10">
        <v>9161.2864320906574</v>
      </c>
      <c r="H25" s="10">
        <v>14</v>
      </c>
      <c r="I25" s="10">
        <v>2</v>
      </c>
      <c r="J25" s="10">
        <v>8</v>
      </c>
    </row>
    <row r="26" spans="1:10" x14ac:dyDescent="0.25">
      <c r="A26" s="5" t="s">
        <v>2</v>
      </c>
      <c r="B26" s="10">
        <v>-2.3007704623785323</v>
      </c>
      <c r="C26" s="10"/>
      <c r="D26" s="10">
        <v>-42.745651225597562</v>
      </c>
      <c r="E26" s="10">
        <v>1.931468127255987</v>
      </c>
      <c r="F26" s="10"/>
      <c r="G26" s="10">
        <v>8.6822559497122889</v>
      </c>
      <c r="H26" s="10">
        <v>7</v>
      </c>
      <c r="I26" s="10"/>
      <c r="J26" s="10">
        <v>4</v>
      </c>
    </row>
    <row r="27" spans="1:10" x14ac:dyDescent="0.25">
      <c r="A27" s="5" t="s">
        <v>5</v>
      </c>
      <c r="B27" s="10">
        <v>2.0668712162367684</v>
      </c>
      <c r="C27" s="10">
        <v>202.51326237970426</v>
      </c>
      <c r="D27" s="10">
        <v>13253.782978666964</v>
      </c>
      <c r="E27" s="10">
        <v>3.4952995598658685</v>
      </c>
      <c r="F27" s="10">
        <v>60.540894669816936</v>
      </c>
      <c r="G27" s="10">
        <v>8830.0360565486644</v>
      </c>
      <c r="H27" s="10">
        <v>7</v>
      </c>
      <c r="I27" s="10">
        <v>2</v>
      </c>
      <c r="J27" s="10">
        <v>4</v>
      </c>
    </row>
    <row r="28" spans="1:10" x14ac:dyDescent="0.25">
      <c r="A28" s="2">
        <v>16</v>
      </c>
      <c r="B28" s="10">
        <v>-4.1172925278792905</v>
      </c>
      <c r="C28" s="10">
        <v>109.22031464676796</v>
      </c>
      <c r="D28" s="10">
        <v>8927.5911596903261</v>
      </c>
      <c r="E28" s="10">
        <v>16.360925135710865</v>
      </c>
      <c r="F28" s="10">
        <v>24.415625830213031</v>
      </c>
      <c r="G28" s="10">
        <v>14562.621665420082</v>
      </c>
      <c r="H28" s="10">
        <v>14</v>
      </c>
      <c r="I28" s="10">
        <v>4</v>
      </c>
      <c r="J28" s="10">
        <v>6</v>
      </c>
    </row>
    <row r="29" spans="1:10" x14ac:dyDescent="0.25">
      <c r="A29" s="5" t="s">
        <v>2</v>
      </c>
      <c r="B29" s="10">
        <v>-0.25497036533174267</v>
      </c>
      <c r="C29" s="10"/>
      <c r="D29" s="10">
        <v>-35.736977735757385</v>
      </c>
      <c r="E29" s="10">
        <v>2.5479317982338396</v>
      </c>
      <c r="F29" s="10"/>
      <c r="G29" s="10">
        <v>1.8508641642844912</v>
      </c>
      <c r="H29" s="10">
        <v>9</v>
      </c>
      <c r="I29" s="10"/>
      <c r="J29" s="10">
        <v>3</v>
      </c>
    </row>
    <row r="30" spans="1:10" x14ac:dyDescent="0.25">
      <c r="A30" s="5" t="s">
        <v>5</v>
      </c>
      <c r="B30" s="10">
        <v>-11.069472420464876</v>
      </c>
      <c r="C30" s="10">
        <v>109.22031464676796</v>
      </c>
      <c r="D30" s="10">
        <v>17890.919297116408</v>
      </c>
      <c r="E30" s="10">
        <v>27.622368003959412</v>
      </c>
      <c r="F30" s="10">
        <v>24.415625830213031</v>
      </c>
      <c r="G30" s="10">
        <v>17004.444039785169</v>
      </c>
      <c r="H30" s="10">
        <v>5</v>
      </c>
      <c r="I30" s="10">
        <v>4</v>
      </c>
      <c r="J30" s="10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DC45D3-01C1-4ACE-8E94-0CAAEC75D7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Ayers</dc:creator>
  <cp:lastModifiedBy>John Ayers</cp:lastModifiedBy>
  <dcterms:created xsi:type="dcterms:W3CDTF">2026-09-18T18:18:32Z</dcterms:created>
  <dcterms:modified xsi:type="dcterms:W3CDTF">2026-10-06T15:48:43Z</dcterms:modified>
</cp:coreProperties>
</file>