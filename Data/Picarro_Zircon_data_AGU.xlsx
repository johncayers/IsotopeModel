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anderbilt365.sharepoint.com/sites/ZirconRecrystallization2/Shared Documents/Experiments/Picarro Data Compiled/"/>
    </mc:Choice>
  </mc:AlternateContent>
  <xr:revisionPtr revIDLastSave="0" documentId="8_{D9E5C638-8849-4349-B8FD-90D709B826AA}" xr6:coauthVersionLast="47" xr6:coauthVersionMax="47" xr10:uidLastSave="{00000000-0000-0000-0000-000000000000}"/>
  <bookViews>
    <workbookView xWindow="-110" yWindow="-110" windowWidth="19420" windowHeight="10300" xr2:uid="{946925D1-F551-3C4C-922B-DE260DAF4B60}"/>
  </bookViews>
  <sheets>
    <sheet name="Data" sheetId="1" r:id="rId1"/>
    <sheet name="Ternary solutions" sheetId="3" r:id="rId2"/>
    <sheet name="Mix data" sheetId="2" r:id="rId3"/>
  </sheets>
  <definedNames>
    <definedName name="ENT">Data!$X$4</definedName>
    <definedName name="solver_adj" localSheetId="0" hidden="1">Data!#REF!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Data!#REF!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Data!#REF!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hs1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  <definedName name="USGS49">Data!$X$3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2" i="1" l="1"/>
  <c r="O71" i="1"/>
  <c r="L72" i="1"/>
  <c r="L71" i="1"/>
  <c r="L70" i="1"/>
  <c r="O70" i="1" s="1"/>
  <c r="L69" i="1"/>
  <c r="O69" i="1" s="1"/>
  <c r="L68" i="1"/>
  <c r="O68" i="1" s="1"/>
  <c r="N69" i="1" l="1"/>
  <c r="N70" i="1"/>
  <c r="N71" i="1"/>
  <c r="N72" i="1"/>
  <c r="N68" i="1"/>
  <c r="Z41" i="1"/>
  <c r="Z42" i="1"/>
  <c r="Z40" i="1"/>
  <c r="Q70" i="1" l="1"/>
  <c r="Q68" i="1"/>
  <c r="Q69" i="1"/>
  <c r="P69" i="1"/>
  <c r="P72" i="1"/>
  <c r="Q72" i="1"/>
  <c r="Q71" i="1"/>
  <c r="P71" i="1"/>
  <c r="Q25" i="1"/>
  <c r="S25" i="1" s="1"/>
  <c r="T25" i="1" s="1"/>
  <c r="U25" i="1" s="1"/>
  <c r="Q46" i="1"/>
  <c r="Q47" i="1"/>
  <c r="Q48" i="1"/>
  <c r="Q24" i="1"/>
  <c r="S24" i="1" s="1"/>
  <c r="A6" i="2"/>
  <c r="X12" i="1"/>
  <c r="P42" i="1" s="1"/>
  <c r="S72" i="1" l="1"/>
  <c r="T72" i="1" s="1"/>
  <c r="U72" i="1" s="1"/>
  <c r="R72" i="1"/>
  <c r="S71" i="1"/>
  <c r="T71" i="1" s="1"/>
  <c r="U71" i="1" s="1"/>
  <c r="R71" i="1"/>
  <c r="S69" i="1"/>
  <c r="T69" i="1" s="1"/>
  <c r="U69" i="1" s="1"/>
  <c r="R69" i="1"/>
  <c r="S68" i="1"/>
  <c r="T68" i="1" s="1"/>
  <c r="U68" i="1" s="1"/>
  <c r="R68" i="1"/>
  <c r="P68" i="1"/>
  <c r="S70" i="1"/>
  <c r="T70" i="1" s="1"/>
  <c r="U70" i="1" s="1"/>
  <c r="R70" i="1"/>
  <c r="P70" i="1"/>
  <c r="R46" i="1"/>
  <c r="S46" i="1"/>
  <c r="T46" i="1" s="1"/>
  <c r="U46" i="1" s="1"/>
  <c r="R25" i="1"/>
  <c r="P31" i="1"/>
  <c r="R24" i="1"/>
  <c r="T24" i="1"/>
  <c r="U24" i="1" s="1"/>
  <c r="R48" i="1"/>
  <c r="S48" i="1"/>
  <c r="T48" i="1" s="1"/>
  <c r="U48" i="1" s="1"/>
  <c r="R47" i="1"/>
  <c r="S47" i="1"/>
  <c r="T47" i="1" s="1"/>
  <c r="U47" i="1" s="1"/>
  <c r="P32" i="1"/>
  <c r="P56" i="1"/>
  <c r="P41" i="1"/>
  <c r="P39" i="1"/>
  <c r="P38" i="1"/>
  <c r="P36" i="1"/>
  <c r="P35" i="1"/>
  <c r="P34" i="1"/>
  <c r="P30" i="1"/>
  <c r="P40" i="1"/>
  <c r="P37" i="1"/>
  <c r="P33" i="1"/>
  <c r="P29" i="1"/>
  <c r="P24" i="1"/>
  <c r="P28" i="1"/>
  <c r="P59" i="1"/>
  <c r="P27" i="1"/>
  <c r="P58" i="1"/>
  <c r="P26" i="1"/>
  <c r="P57" i="1"/>
  <c r="P25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L48" i="1"/>
  <c r="O48" i="1" s="1"/>
  <c r="L49" i="1"/>
  <c r="O49" i="1" s="1"/>
  <c r="F2" i="2"/>
  <c r="E2" i="2"/>
  <c r="B4" i="2"/>
  <c r="E4" i="2" s="1"/>
  <c r="B5" i="2"/>
  <c r="E5" i="2" s="1"/>
  <c r="B6" i="2"/>
  <c r="E6" i="2" s="1"/>
  <c r="B7" i="2"/>
  <c r="E7" i="2" s="1"/>
  <c r="B8" i="2"/>
  <c r="E8" i="2" s="1"/>
  <c r="B9" i="2"/>
  <c r="E9" i="2" s="1"/>
  <c r="B10" i="2"/>
  <c r="E10" i="2" s="1"/>
  <c r="B11" i="2"/>
  <c r="E11" i="2" s="1"/>
  <c r="B12" i="2"/>
  <c r="E12" i="2" s="1"/>
  <c r="B3" i="2"/>
  <c r="E3" i="2" s="1"/>
  <c r="A4" i="2"/>
  <c r="A5" i="2"/>
  <c r="A7" i="2"/>
  <c r="A8" i="2"/>
  <c r="A9" i="2"/>
  <c r="A10" i="2"/>
  <c r="A11" i="2"/>
  <c r="A12" i="2"/>
  <c r="A3" i="2"/>
  <c r="C2" i="2"/>
  <c r="B2" i="2"/>
  <c r="A2" i="2"/>
  <c r="L25" i="1"/>
  <c r="O25" i="1" s="1"/>
  <c r="L46" i="1"/>
  <c r="O46" i="1" s="1"/>
  <c r="L47" i="1"/>
  <c r="O47" i="1" s="1"/>
  <c r="L50" i="1"/>
  <c r="O50" i="1" s="1"/>
  <c r="C3" i="2" s="1"/>
  <c r="F5" i="2" s="1"/>
  <c r="L51" i="1"/>
  <c r="O51" i="1" s="1"/>
  <c r="C4" i="2" s="1"/>
  <c r="F6" i="2" s="1"/>
  <c r="L52" i="1"/>
  <c r="O52" i="1" s="1"/>
  <c r="C5" i="2" s="1"/>
  <c r="L53" i="1"/>
  <c r="O53" i="1" s="1"/>
  <c r="C6" i="2" s="1"/>
  <c r="L54" i="1"/>
  <c r="O54" i="1" s="1"/>
  <c r="C7" i="2" s="1"/>
  <c r="L55" i="1"/>
  <c r="O55" i="1" s="1"/>
  <c r="C8" i="2" s="1"/>
  <c r="L56" i="1"/>
  <c r="O56" i="1" s="1"/>
  <c r="C9" i="2" s="1"/>
  <c r="L57" i="1"/>
  <c r="O57" i="1" s="1"/>
  <c r="C10" i="2" s="1"/>
  <c r="L58" i="1"/>
  <c r="O58" i="1" s="1"/>
  <c r="C11" i="2" s="1"/>
  <c r="F3" i="2" s="1"/>
  <c r="L59" i="1"/>
  <c r="O59" i="1" s="1"/>
  <c r="C12" i="2" s="1"/>
  <c r="F4" i="2" s="1"/>
  <c r="L24" i="1"/>
  <c r="O24" i="1" s="1"/>
  <c r="K45" i="1"/>
  <c r="J45" i="1"/>
  <c r="K44" i="1"/>
  <c r="J44" i="1"/>
  <c r="J43" i="1"/>
  <c r="J42" i="1"/>
  <c r="J41" i="1"/>
  <c r="J40" i="1"/>
  <c r="J39" i="1"/>
  <c r="J38" i="1"/>
  <c r="K37" i="1"/>
  <c r="J37" i="1"/>
  <c r="K36" i="1"/>
  <c r="J36" i="1"/>
  <c r="J35" i="1"/>
  <c r="J34" i="1"/>
  <c r="J33" i="1"/>
  <c r="J32" i="1"/>
  <c r="J31" i="1"/>
  <c r="K31" i="1"/>
  <c r="K30" i="1"/>
  <c r="J30" i="1"/>
  <c r="J29" i="1"/>
  <c r="K29" i="1"/>
  <c r="K28" i="1"/>
  <c r="J28" i="1"/>
  <c r="J27" i="1"/>
  <c r="K27" i="1"/>
  <c r="K26" i="1"/>
  <c r="J26" i="1"/>
  <c r="Q45" i="1" l="1"/>
  <c r="R45" i="1" s="1"/>
  <c r="Q28" i="1"/>
  <c r="R28" i="1" s="1"/>
  <c r="Q37" i="1"/>
  <c r="R37" i="1" s="1"/>
  <c r="L38" i="1"/>
  <c r="O38" i="1" s="1"/>
  <c r="Q38" i="1"/>
  <c r="R38" i="1" s="1"/>
  <c r="L39" i="1"/>
  <c r="O39" i="1" s="1"/>
  <c r="Q39" i="1"/>
  <c r="R39" i="1" s="1"/>
  <c r="Q44" i="1"/>
  <c r="R44" i="1" s="1"/>
  <c r="AA42" i="1" s="1"/>
  <c r="L40" i="1"/>
  <c r="O40" i="1" s="1"/>
  <c r="Q40" i="1"/>
  <c r="R40" i="1" s="1"/>
  <c r="L41" i="1"/>
  <c r="O41" i="1" s="1"/>
  <c r="Q41" i="1"/>
  <c r="R41" i="1" s="1"/>
  <c r="L43" i="1"/>
  <c r="O43" i="1" s="1"/>
  <c r="Q43" i="1"/>
  <c r="R43" i="1" s="1"/>
  <c r="L33" i="1"/>
  <c r="O33" i="1" s="1"/>
  <c r="Q33" i="1"/>
  <c r="R33" i="1" s="1"/>
  <c r="L34" i="1"/>
  <c r="O34" i="1" s="1"/>
  <c r="Q34" i="1"/>
  <c r="R34" i="1" s="1"/>
  <c r="L35" i="1"/>
  <c r="O35" i="1" s="1"/>
  <c r="Q35" i="1"/>
  <c r="R35" i="1" s="1"/>
  <c r="L42" i="1"/>
  <c r="O42" i="1" s="1"/>
  <c r="Q42" i="1"/>
  <c r="R42" i="1" s="1"/>
  <c r="Q26" i="1"/>
  <c r="R26" i="1" s="1"/>
  <c r="Q29" i="1"/>
  <c r="R29" i="1" s="1"/>
  <c r="Q30" i="1"/>
  <c r="R30" i="1" s="1"/>
  <c r="Q31" i="1"/>
  <c r="R31" i="1" s="1"/>
  <c r="Q36" i="1"/>
  <c r="R36" i="1" s="1"/>
  <c r="Q27" i="1"/>
  <c r="R27" i="1" s="1"/>
  <c r="L32" i="1"/>
  <c r="O32" i="1" s="1"/>
  <c r="Q32" i="1"/>
  <c r="R32" i="1" s="1"/>
  <c r="L27" i="1"/>
  <c r="O27" i="1" s="1"/>
  <c r="L28" i="1"/>
  <c r="O28" i="1" s="1"/>
  <c r="L36" i="1"/>
  <c r="O36" i="1" s="1"/>
  <c r="L30" i="1"/>
  <c r="O30" i="1" s="1"/>
  <c r="F9" i="2"/>
  <c r="F8" i="2"/>
  <c r="F10" i="2"/>
  <c r="F7" i="2"/>
  <c r="L37" i="1"/>
  <c r="O37" i="1" s="1"/>
  <c r="L31" i="1"/>
  <c r="O31" i="1" s="1"/>
  <c r="L44" i="1"/>
  <c r="O44" i="1" s="1"/>
  <c r="L45" i="1"/>
  <c r="O45" i="1" s="1"/>
  <c r="L29" i="1"/>
  <c r="O29" i="1" s="1"/>
  <c r="L26" i="1"/>
  <c r="O26" i="1" s="1"/>
  <c r="S37" i="1" l="1"/>
  <c r="T37" i="1" s="1"/>
  <c r="U37" i="1" s="1"/>
  <c r="S28" i="1"/>
  <c r="T28" i="1" s="1"/>
  <c r="U28" i="1" s="1"/>
  <c r="S29" i="1"/>
  <c r="T29" i="1" s="1"/>
  <c r="U29" i="1" s="1"/>
  <c r="S33" i="1"/>
  <c r="T33" i="1" s="1"/>
  <c r="U33" i="1" s="1"/>
  <c r="S45" i="1"/>
  <c r="T45" i="1" s="1"/>
  <c r="U45" i="1" s="1"/>
  <c r="AA41" i="1"/>
  <c r="S34" i="1"/>
  <c r="T34" i="1" s="1"/>
  <c r="U34" i="1" s="1"/>
  <c r="S39" i="1"/>
  <c r="T39" i="1" s="1"/>
  <c r="U39" i="1" s="1"/>
  <c r="S40" i="1"/>
  <c r="T40" i="1" s="1"/>
  <c r="U40" i="1" s="1"/>
  <c r="S36" i="1"/>
  <c r="T36" i="1" s="1"/>
  <c r="U36" i="1" s="1"/>
  <c r="S42" i="1"/>
  <c r="T42" i="1" s="1"/>
  <c r="U42" i="1" s="1"/>
  <c r="S30" i="1"/>
  <c r="T30" i="1" s="1"/>
  <c r="U30" i="1" s="1"/>
  <c r="S44" i="1"/>
  <c r="T44" i="1" s="1"/>
  <c r="U44" i="1" s="1"/>
  <c r="S27" i="1"/>
  <c r="T27" i="1" s="1"/>
  <c r="U27" i="1" s="1"/>
  <c r="S35" i="1"/>
  <c r="T35" i="1" s="1"/>
  <c r="U35" i="1" s="1"/>
  <c r="S26" i="1"/>
  <c r="T26" i="1" s="1"/>
  <c r="U26" i="1" s="1"/>
  <c r="S43" i="1"/>
  <c r="T43" i="1" s="1"/>
  <c r="U43" i="1" s="1"/>
  <c r="S38" i="1"/>
  <c r="T38" i="1" s="1"/>
  <c r="U38" i="1" s="1"/>
  <c r="S32" i="1"/>
  <c r="T32" i="1" s="1"/>
  <c r="U32" i="1" s="1"/>
  <c r="S31" i="1"/>
  <c r="T31" i="1" s="1"/>
  <c r="U31" i="1" s="1"/>
  <c r="S41" i="1"/>
  <c r="T41" i="1" s="1"/>
  <c r="U41" i="1" s="1"/>
  <c r="AA40" i="1"/>
  <c r="X36" i="1"/>
  <c r="X34" i="1"/>
  <c r="X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tc={D0DFB63B-DE18-4B8C-9DD2-ED8DA8EAEC66}</author>
  </authors>
  <commentList>
    <comment ref="S1" authorId="0" shapeId="0" xr:uid="{D0DFB63B-DE18-4B8C-9DD2-ED8DA8EAEC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mass of oxygen contributed to the fluid by dissolution of zircon: MO,MTZ = (MO,fl*d18Ofl - MO,USGS49d18OUSGS49)/d18OMTZ
</t>
      </text>
    </comment>
  </commentList>
</comments>
</file>

<file path=xl/sharedStrings.xml><?xml version="1.0" encoding="utf-8"?>
<sst xmlns="http://schemas.openxmlformats.org/spreadsheetml/2006/main" count="204" uniqueCount="121">
  <si>
    <t>OurLabID</t>
  </si>
  <si>
    <t>Sample ID</t>
  </si>
  <si>
    <t>Analysis_Date_Time</t>
  </si>
  <si>
    <t>d2H of injections</t>
  </si>
  <si>
    <t>d2H injections St Dev</t>
  </si>
  <si>
    <t>d2H of Analyses</t>
  </si>
  <si>
    <t>d18O of injections</t>
  </si>
  <si>
    <t>d18O injections St Dev</t>
  </si>
  <si>
    <t>M USGS49 (mg)</t>
  </si>
  <si>
    <t>M ENT (mg)</t>
  </si>
  <si>
    <t>XENT</t>
  </si>
  <si>
    <t>MSiO2</t>
  </si>
  <si>
    <t>d18O Meas</t>
  </si>
  <si>
    <t>d18O Nominal</t>
  </si>
  <si>
    <t>(18O/16O)soln</t>
  </si>
  <si>
    <t>d18O Fl</t>
  </si>
  <si>
    <t>Δ18O Fl</t>
  </si>
  <si>
    <t>MO,MTZ (g)</t>
  </si>
  <si>
    <t>MMTZ (g)</t>
  </si>
  <si>
    <t>Solb (molality)</t>
  </si>
  <si>
    <t>W-3</t>
  </si>
  <si>
    <t>DIW Wash</t>
  </si>
  <si>
    <t>MT Z</t>
  </si>
  <si>
    <t>d18O</t>
  </si>
  <si>
    <t>W-36</t>
  </si>
  <si>
    <t>USGS 49</t>
  </si>
  <si>
    <t>USGS49</t>
  </si>
  <si>
    <t>ENT</t>
  </si>
  <si>
    <t>USGS49 meas</t>
  </si>
  <si>
    <t xml:space="preserve">USGS49 </t>
  </si>
  <si>
    <t>ENT meas</t>
  </si>
  <si>
    <t xml:space="preserve">ENT </t>
  </si>
  <si>
    <t>W-37</t>
  </si>
  <si>
    <t>USGS 50</t>
  </si>
  <si>
    <t>(18O/16O)SMOW</t>
  </si>
  <si>
    <t>W-998</t>
  </si>
  <si>
    <t>DI for linearity evaluation</t>
  </si>
  <si>
    <t>W-2366</t>
  </si>
  <si>
    <t>Zircon009 RP-1</t>
  </si>
  <si>
    <t>W-2367</t>
  </si>
  <si>
    <t>Zircon014 RP-2</t>
  </si>
  <si>
    <t>W-2368</t>
  </si>
  <si>
    <t>Zircon015 RP-3</t>
  </si>
  <si>
    <t>W-2369</t>
  </si>
  <si>
    <t>Zircon017 RP-4</t>
  </si>
  <si>
    <t>W-2370</t>
  </si>
  <si>
    <t>Zircon019 RP-5</t>
  </si>
  <si>
    <t>W-2371</t>
  </si>
  <si>
    <t>Zircon021 RP-6</t>
  </si>
  <si>
    <t>Min</t>
  </si>
  <si>
    <t>Mean d18O shift</t>
  </si>
  <si>
    <t>W-2372</t>
  </si>
  <si>
    <t>Zircon022 RP-7</t>
  </si>
  <si>
    <t>Max</t>
  </si>
  <si>
    <t>W-2373</t>
  </si>
  <si>
    <t>Zircon010 RP-8</t>
  </si>
  <si>
    <t>Expt</t>
  </si>
  <si>
    <t>time (d)</t>
  </si>
  <si>
    <t>sqrt t</t>
  </si>
  <si>
    <t>Δ18O shift</t>
  </si>
  <si>
    <t>% replacement image</t>
  </si>
  <si>
    <t>W-2374</t>
  </si>
  <si>
    <t>Zircon011 RP-9</t>
  </si>
  <si>
    <t>Z_014</t>
  </si>
  <si>
    <t>Z_015</t>
  </si>
  <si>
    <t>W-2375</t>
  </si>
  <si>
    <t>Zircon012 RP-10</t>
  </si>
  <si>
    <t>Z_016</t>
  </si>
  <si>
    <t>W-2377</t>
  </si>
  <si>
    <t>Zircon016 RP-12</t>
  </si>
  <si>
    <t>W-2280</t>
  </si>
  <si>
    <t>Zircon_006_RP</t>
  </si>
  <si>
    <t>W-2282</t>
  </si>
  <si>
    <t>Zircon_005_RP</t>
  </si>
  <si>
    <t>W-2272</t>
  </si>
  <si>
    <t>Mix 1:1</t>
  </si>
  <si>
    <t>W-2273</t>
  </si>
  <si>
    <t>Mix 1:2</t>
  </si>
  <si>
    <t>W-2274</t>
  </si>
  <si>
    <t>Mix 1:3_2</t>
  </si>
  <si>
    <t>W-2275</t>
  </si>
  <si>
    <t>Mix 1:3</t>
  </si>
  <si>
    <t>W-2276</t>
  </si>
  <si>
    <t>Mix 1:4</t>
  </si>
  <si>
    <t>W-2376</t>
  </si>
  <si>
    <t>USGS49 2-12-24 - 11</t>
  </si>
  <si>
    <t>W-2283</t>
  </si>
  <si>
    <t>East Nashville Tap-2</t>
  </si>
  <si>
    <t>W-2279</t>
  </si>
  <si>
    <t>Zircon_006_Tap</t>
  </si>
  <si>
    <t>W-2281</t>
  </si>
  <si>
    <t>Zircon_005_Tap</t>
  </si>
  <si>
    <t>W-3069</t>
  </si>
  <si>
    <t>zircon_023</t>
  </si>
  <si>
    <t>W-3070</t>
  </si>
  <si>
    <t>zircon_024</t>
  </si>
  <si>
    <t>W-3071</t>
  </si>
  <si>
    <t>zircon_025</t>
  </si>
  <si>
    <t>W-3072</t>
  </si>
  <si>
    <t>zircon_026</t>
  </si>
  <si>
    <t>W-3073</t>
  </si>
  <si>
    <t>zircon_027</t>
  </si>
  <si>
    <t>Experiment</t>
  </si>
  <si>
    <t>M zir (mg)</t>
  </si>
  <si>
    <t>Zircon005</t>
  </si>
  <si>
    <t>blank</t>
  </si>
  <si>
    <t>Zircon006</t>
  </si>
  <si>
    <t xml:space="preserve">Zircon009 </t>
  </si>
  <si>
    <t xml:space="preserve">Zircon010 </t>
  </si>
  <si>
    <t xml:space="preserve">Zircon011 </t>
  </si>
  <si>
    <t xml:space="preserve">Zircon012 </t>
  </si>
  <si>
    <t xml:space="preserve">Zircon014 </t>
  </si>
  <si>
    <t xml:space="preserve">Zircon015 </t>
  </si>
  <si>
    <t xml:space="preserve">Zircon016 </t>
  </si>
  <si>
    <t xml:space="preserve">Zircon017 </t>
  </si>
  <si>
    <t xml:space="preserve">Zircon019 </t>
  </si>
  <si>
    <t xml:space="preserve">Zircon021 </t>
  </si>
  <si>
    <t xml:space="preserve">Zircon022 </t>
  </si>
  <si>
    <t>Reported</t>
  </si>
  <si>
    <t>Rearranged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</si>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</sst>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0.0"/>
    <numFmt numFmtId="166" formatCode="0.000"/>
    <numFmt numFmtId="167" formatCode="0.0000"/>
  </numFmts>
  <fonts count="5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2" fillId="0" borderId="0" xfId="0" applyFon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2" fontId="0" fillId="0" borderId="0" xfId="0" applyNumberFormat="1"/>
    <xf numFmtId="0" fontId="1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/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</a:t>
            </a:r>
            <a:r>
              <a:rPr lang="en-US" baseline="0"/>
              <a:t> product fluids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2338145231846"/>
          <c:y val="0.28224591717701952"/>
          <c:w val="0.83887729658792642"/>
          <c:h val="0.51681284631087776"/>
        </c:manualLayout>
      </c:layout>
      <c:scatterChart>
        <c:scatterStyle val="lineMarker"/>
        <c:varyColors val="0"/>
        <c:ser>
          <c:idx val="0"/>
          <c:order val="0"/>
          <c:tx>
            <c:v>product fluid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Data!$N$24:$N$47</c:f>
              <c:numCache>
                <c:formatCode>General</c:formatCode>
                <c:ptCount val="24"/>
                <c:pt idx="0">
                  <c:v>-7.7</c:v>
                </c:pt>
                <c:pt idx="1">
                  <c:v>-7.7</c:v>
                </c:pt>
                <c:pt idx="2">
                  <c:v>-7.69</c:v>
                </c:pt>
                <c:pt idx="3">
                  <c:v>-7.69</c:v>
                </c:pt>
                <c:pt idx="4">
                  <c:v>-4.8099999999999996</c:v>
                </c:pt>
                <c:pt idx="5">
                  <c:v>-4.8099999999999996</c:v>
                </c:pt>
                <c:pt idx="6">
                  <c:v>-7.83</c:v>
                </c:pt>
                <c:pt idx="7">
                  <c:v>-7.83</c:v>
                </c:pt>
                <c:pt idx="8">
                  <c:v>-7.46</c:v>
                </c:pt>
                <c:pt idx="9">
                  <c:v>-7.46</c:v>
                </c:pt>
                <c:pt idx="10">
                  <c:v>-6.37</c:v>
                </c:pt>
                <c:pt idx="11">
                  <c:v>-6.37</c:v>
                </c:pt>
                <c:pt idx="12">
                  <c:v>-6.72</c:v>
                </c:pt>
                <c:pt idx="13">
                  <c:v>-6.72</c:v>
                </c:pt>
                <c:pt idx="14">
                  <c:v>-7.74</c:v>
                </c:pt>
                <c:pt idx="15">
                  <c:v>-7.74</c:v>
                </c:pt>
                <c:pt idx="16">
                  <c:v>-7.89</c:v>
                </c:pt>
                <c:pt idx="17">
                  <c:v>-7.89</c:v>
                </c:pt>
                <c:pt idx="18">
                  <c:v>-8.0500000000000007</c:v>
                </c:pt>
                <c:pt idx="19">
                  <c:v>-8.0500000000000007</c:v>
                </c:pt>
                <c:pt idx="20">
                  <c:v>-6.43</c:v>
                </c:pt>
                <c:pt idx="21">
                  <c:v>-6.43</c:v>
                </c:pt>
                <c:pt idx="22">
                  <c:v>-7.91</c:v>
                </c:pt>
                <c:pt idx="23">
                  <c:v>-7.91</c:v>
                </c:pt>
              </c:numCache>
            </c:numRef>
          </c:xVal>
          <c:yVal>
            <c:numRef>
              <c:f>Data!$O$24:$O$47</c:f>
              <c:numCache>
                <c:formatCode>0.00</c:formatCode>
                <c:ptCount val="24"/>
                <c:pt idx="0">
                  <c:v>-8.4167704342808811</c:v>
                </c:pt>
                <c:pt idx="1">
                  <c:v>-8.4167704342808811</c:v>
                </c:pt>
                <c:pt idx="2">
                  <c:v>-8.9369140261720457</c:v>
                </c:pt>
                <c:pt idx="3">
                  <c:v>-8.9369140261720457</c:v>
                </c:pt>
                <c:pt idx="4">
                  <c:v>-9.9386843693064506</c:v>
                </c:pt>
                <c:pt idx="5">
                  <c:v>-9.9386843693064506</c:v>
                </c:pt>
                <c:pt idx="6">
                  <c:v>-7.8325718830188098</c:v>
                </c:pt>
                <c:pt idx="7">
                  <c:v>-7.8325718830188098</c:v>
                </c:pt>
                <c:pt idx="8">
                  <c:v>-7.559076323477365</c:v>
                </c:pt>
                <c:pt idx="9">
                  <c:v>-7.559076323477365</c:v>
                </c:pt>
                <c:pt idx="10">
                  <c:v>-9.353756423929898</c:v>
                </c:pt>
                <c:pt idx="11">
                  <c:v>-9.353756423929898</c:v>
                </c:pt>
                <c:pt idx="12">
                  <c:v>-8.0259231191760492</c:v>
                </c:pt>
                <c:pt idx="13">
                  <c:v>-8.0259231191760492</c:v>
                </c:pt>
                <c:pt idx="14">
                  <c:v>-8.2860793131119426</c:v>
                </c:pt>
                <c:pt idx="15">
                  <c:v>-8.2860793131119426</c:v>
                </c:pt>
                <c:pt idx="16">
                  <c:v>-8.6098765385230482</c:v>
                </c:pt>
                <c:pt idx="17">
                  <c:v>-8.6098765385230482</c:v>
                </c:pt>
                <c:pt idx="18">
                  <c:v>-8.2384220541400062</c:v>
                </c:pt>
                <c:pt idx="19">
                  <c:v>-8.2384220541400062</c:v>
                </c:pt>
                <c:pt idx="20">
                  <c:v>-7.1820567068156995</c:v>
                </c:pt>
                <c:pt idx="21">
                  <c:v>-7.1820567068156995</c:v>
                </c:pt>
                <c:pt idx="22">
                  <c:v>-6.565114737024822</c:v>
                </c:pt>
                <c:pt idx="23">
                  <c:v>-6.565114737024822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CD-4FB7-B224-79A7D00D5BB3}"/>
            </c:ext>
          </c:extLst>
        </c:ser>
        <c:ser>
          <c:idx val="1"/>
          <c:order val="1"/>
          <c:tx>
            <c:strRef>
              <c:f>Data!$X$6</c:f>
              <c:strCache>
                <c:ptCount val="1"/>
                <c:pt idx="0">
                  <c:v>USGS49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Data!$W$7</c:f>
              <c:numCache>
                <c:formatCode>General</c:formatCode>
                <c:ptCount val="1"/>
                <c:pt idx="0">
                  <c:v>-50.55</c:v>
                </c:pt>
              </c:numCache>
            </c:numRef>
          </c:xVal>
          <c:yVal>
            <c:numRef>
              <c:f>Data!$X$7</c:f>
              <c:numCache>
                <c:formatCode>General</c:formatCode>
                <c:ptCount val="1"/>
                <c:pt idx="0">
                  <c:v>-50.55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CD-4FB7-B224-79A7D00D5BB3}"/>
            </c:ext>
          </c:extLst>
        </c:ser>
        <c:ser>
          <c:idx val="2"/>
          <c:order val="2"/>
          <c:tx>
            <c:strRef>
              <c:f>Data!$X$9</c:f>
              <c:strCache>
                <c:ptCount val="1"/>
                <c:pt idx="0">
                  <c:v>ENT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Data!$W$10</c:f>
              <c:numCache>
                <c:formatCode>General</c:formatCode>
                <c:ptCount val="1"/>
                <c:pt idx="0">
                  <c:v>-6.59</c:v>
                </c:pt>
              </c:numCache>
            </c:numRef>
          </c:xVal>
          <c:yVal>
            <c:numRef>
              <c:f>Data!$X$10</c:f>
              <c:numCache>
                <c:formatCode>General</c:formatCode>
                <c:ptCount val="1"/>
                <c:pt idx="0">
                  <c:v>-6.59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CD-4FB7-B224-79A7D00D5BB3}"/>
            </c:ext>
          </c:extLst>
        </c:ser>
        <c:ser>
          <c:idx val="3"/>
          <c:order val="3"/>
          <c:tx>
            <c:v>1:1 line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Data!$X$3:$X$4</c:f>
              <c:numCache>
                <c:formatCode>General</c:formatCode>
                <c:ptCount val="2"/>
                <c:pt idx="0">
                  <c:v>-50.55</c:v>
                </c:pt>
                <c:pt idx="1">
                  <c:v>-6.59</c:v>
                </c:pt>
              </c:numCache>
            </c:numRef>
          </c:xVal>
          <c:yVal>
            <c:numRef>
              <c:f>Data!$Y$3:$Y$4</c:f>
              <c:numCache>
                <c:formatCode>General</c:formatCode>
                <c:ptCount val="2"/>
                <c:pt idx="0">
                  <c:v>-50.55</c:v>
                </c:pt>
                <c:pt idx="1">
                  <c:v>-6.59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CD-4FB7-B224-79A7D00D5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056400"/>
        <c:axId val="726048720"/>
      </c:scatterChart>
      <c:valAx>
        <c:axId val="72605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d18O</a:t>
                </a:r>
                <a:r>
                  <a:rPr lang="en-US" baseline="0"/>
                  <a:t> meas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048720"/>
        <c:crossesAt val="-60"/>
        <c:crossBetween val="midCat"/>
      </c:valAx>
      <c:valAx>
        <c:axId val="72604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d18O</a:t>
                </a:r>
                <a:r>
                  <a:rPr lang="en-US" baseline="0"/>
                  <a:t> nominal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056400"/>
        <c:crossesAt val="-60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2338145231846"/>
          <c:y val="0.18646495299832108"/>
          <c:w val="0.83887729658792642"/>
          <c:h val="0.61259375645319125"/>
        </c:manualLayout>
      </c:layout>
      <c:scatterChart>
        <c:scatterStyle val="lineMarker"/>
        <c:varyColors val="0"/>
        <c:ser>
          <c:idx val="0"/>
          <c:order val="0"/>
          <c:tx>
            <c:v>product fluid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Data!$N$24:$N$45</c:f>
              <c:numCache>
                <c:formatCode>General</c:formatCode>
                <c:ptCount val="22"/>
                <c:pt idx="0">
                  <c:v>-7.7</c:v>
                </c:pt>
                <c:pt idx="1">
                  <c:v>-7.7</c:v>
                </c:pt>
                <c:pt idx="2">
                  <c:v>-7.69</c:v>
                </c:pt>
                <c:pt idx="3">
                  <c:v>-7.69</c:v>
                </c:pt>
                <c:pt idx="4">
                  <c:v>-4.8099999999999996</c:v>
                </c:pt>
                <c:pt idx="5">
                  <c:v>-4.8099999999999996</c:v>
                </c:pt>
                <c:pt idx="6">
                  <c:v>-7.83</c:v>
                </c:pt>
                <c:pt idx="7">
                  <c:v>-7.83</c:v>
                </c:pt>
                <c:pt idx="8">
                  <c:v>-7.46</c:v>
                </c:pt>
                <c:pt idx="9">
                  <c:v>-7.46</c:v>
                </c:pt>
                <c:pt idx="10">
                  <c:v>-6.37</c:v>
                </c:pt>
                <c:pt idx="11">
                  <c:v>-6.37</c:v>
                </c:pt>
                <c:pt idx="12">
                  <c:v>-6.72</c:v>
                </c:pt>
                <c:pt idx="13">
                  <c:v>-6.72</c:v>
                </c:pt>
                <c:pt idx="14">
                  <c:v>-7.74</c:v>
                </c:pt>
                <c:pt idx="15">
                  <c:v>-7.74</c:v>
                </c:pt>
                <c:pt idx="16">
                  <c:v>-7.89</c:v>
                </c:pt>
                <c:pt idx="17">
                  <c:v>-7.89</c:v>
                </c:pt>
                <c:pt idx="18">
                  <c:v>-8.0500000000000007</c:v>
                </c:pt>
                <c:pt idx="19">
                  <c:v>-8.0500000000000007</c:v>
                </c:pt>
                <c:pt idx="20">
                  <c:v>-6.43</c:v>
                </c:pt>
                <c:pt idx="21">
                  <c:v>-6.43</c:v>
                </c:pt>
              </c:numCache>
            </c:numRef>
          </c:xVal>
          <c:yVal>
            <c:numRef>
              <c:f>Data!$O$24:$O$45</c:f>
              <c:numCache>
                <c:formatCode>0.00</c:formatCode>
                <c:ptCount val="22"/>
                <c:pt idx="0">
                  <c:v>-8.4167704342808811</c:v>
                </c:pt>
                <c:pt idx="1">
                  <c:v>-8.4167704342808811</c:v>
                </c:pt>
                <c:pt idx="2">
                  <c:v>-8.9369140261720457</c:v>
                </c:pt>
                <c:pt idx="3">
                  <c:v>-8.9369140261720457</c:v>
                </c:pt>
                <c:pt idx="4">
                  <c:v>-9.9386843693064506</c:v>
                </c:pt>
                <c:pt idx="5">
                  <c:v>-9.9386843693064506</c:v>
                </c:pt>
                <c:pt idx="6">
                  <c:v>-7.8325718830188098</c:v>
                </c:pt>
                <c:pt idx="7">
                  <c:v>-7.8325718830188098</c:v>
                </c:pt>
                <c:pt idx="8">
                  <c:v>-7.559076323477365</c:v>
                </c:pt>
                <c:pt idx="9">
                  <c:v>-7.559076323477365</c:v>
                </c:pt>
                <c:pt idx="10">
                  <c:v>-9.353756423929898</c:v>
                </c:pt>
                <c:pt idx="11">
                  <c:v>-9.353756423929898</c:v>
                </c:pt>
                <c:pt idx="12">
                  <c:v>-8.0259231191760492</c:v>
                </c:pt>
                <c:pt idx="13">
                  <c:v>-8.0259231191760492</c:v>
                </c:pt>
                <c:pt idx="14">
                  <c:v>-8.2860793131119426</c:v>
                </c:pt>
                <c:pt idx="15">
                  <c:v>-8.2860793131119426</c:v>
                </c:pt>
                <c:pt idx="16">
                  <c:v>-8.6098765385230482</c:v>
                </c:pt>
                <c:pt idx="17">
                  <c:v>-8.6098765385230482</c:v>
                </c:pt>
                <c:pt idx="18">
                  <c:v>-8.2384220541400062</c:v>
                </c:pt>
                <c:pt idx="19">
                  <c:v>-8.2384220541400062</c:v>
                </c:pt>
                <c:pt idx="20">
                  <c:v>-7.1820567068156995</c:v>
                </c:pt>
                <c:pt idx="21">
                  <c:v>-7.1820567068156995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E0-481C-B5E1-B3C970B882C4}"/>
            </c:ext>
          </c:extLst>
        </c:ser>
        <c:ser>
          <c:idx val="1"/>
          <c:order val="1"/>
          <c:tx>
            <c:strRef>
              <c:f>Data!$X$6</c:f>
              <c:strCache>
                <c:ptCount val="1"/>
                <c:pt idx="0">
                  <c:v>USGS49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Data!$W$7</c:f>
              <c:numCache>
                <c:formatCode>General</c:formatCode>
                <c:ptCount val="1"/>
                <c:pt idx="0">
                  <c:v>-50.55</c:v>
                </c:pt>
              </c:numCache>
            </c:numRef>
          </c:xVal>
          <c:yVal>
            <c:numRef>
              <c:f>Data!$X$7</c:f>
              <c:numCache>
                <c:formatCode>General</c:formatCode>
                <c:ptCount val="1"/>
                <c:pt idx="0">
                  <c:v>-50.55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E0-481C-B5E1-B3C970B882C4}"/>
            </c:ext>
          </c:extLst>
        </c:ser>
        <c:ser>
          <c:idx val="2"/>
          <c:order val="2"/>
          <c:tx>
            <c:strRef>
              <c:f>Data!$X$9</c:f>
              <c:strCache>
                <c:ptCount val="1"/>
                <c:pt idx="0">
                  <c:v>ENT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Data!$W$10</c:f>
              <c:numCache>
                <c:formatCode>General</c:formatCode>
                <c:ptCount val="1"/>
                <c:pt idx="0">
                  <c:v>-6.59</c:v>
                </c:pt>
              </c:numCache>
            </c:numRef>
          </c:xVal>
          <c:yVal>
            <c:numRef>
              <c:f>Data!$X$10</c:f>
              <c:numCache>
                <c:formatCode>General</c:formatCode>
                <c:ptCount val="1"/>
                <c:pt idx="0">
                  <c:v>-6.59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E0-481C-B5E1-B3C970B882C4}"/>
            </c:ext>
          </c:extLst>
        </c:ser>
        <c:ser>
          <c:idx val="3"/>
          <c:order val="3"/>
          <c:tx>
            <c:v>USGS49-ENT mixtures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Data!$X$3:$X$4</c:f>
              <c:numCache>
                <c:formatCode>General</c:formatCode>
                <c:ptCount val="2"/>
                <c:pt idx="0">
                  <c:v>-50.55</c:v>
                </c:pt>
                <c:pt idx="1">
                  <c:v>-6.59</c:v>
                </c:pt>
              </c:numCache>
            </c:numRef>
          </c:xVal>
          <c:yVal>
            <c:numRef>
              <c:f>Data!$Y$3:$Y$4</c:f>
              <c:numCache>
                <c:formatCode>General</c:formatCode>
                <c:ptCount val="2"/>
                <c:pt idx="0">
                  <c:v>-50.55</c:v>
                </c:pt>
                <c:pt idx="1">
                  <c:v>-6.59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E0-481C-B5E1-B3C970B88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056400"/>
        <c:axId val="726048720"/>
      </c:scatterChart>
      <c:valAx>
        <c:axId val="726056400"/>
        <c:scaling>
          <c:orientation val="minMax"/>
          <c:max val="-4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l-GR">
                    <a:latin typeface="Arial" panose="020B0604020202020204" pitchFamily="34" charset="0"/>
                    <a:cs typeface="Arial" panose="020B0604020202020204" pitchFamily="34" charset="0"/>
                  </a:rPr>
                  <a:t>δ</a:t>
                </a:r>
                <a:r>
                  <a:rPr lang="en-US" baseline="30000"/>
                  <a:t>18</a:t>
                </a:r>
                <a:r>
                  <a:rPr lang="en-US"/>
                  <a:t>O meas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26048720"/>
        <c:crossesAt val="-60"/>
        <c:crossBetween val="midCat"/>
      </c:valAx>
      <c:valAx>
        <c:axId val="726048720"/>
        <c:scaling>
          <c:orientation val="minMax"/>
          <c:max val="-4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l-GR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δ</a:t>
                </a:r>
                <a:r>
                  <a:rPr lang="en-US" baseline="30000"/>
                  <a:t>18</a:t>
                </a:r>
                <a:r>
                  <a:rPr lang="en-US"/>
                  <a:t>O nominal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26056400"/>
        <c:crossesAt val="-60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Data!$AB$39</c:f>
              <c:strCache>
                <c:ptCount val="1"/>
                <c:pt idx="0">
                  <c:v>% replacement image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Data!$AA$40:$AA$42</c:f>
              <c:numCache>
                <c:formatCode>0.00</c:formatCode>
                <c:ptCount val="3"/>
                <c:pt idx="0">
                  <c:v>23.355921852803601</c:v>
                </c:pt>
                <c:pt idx="1">
                  <c:v>67.327027575730057</c:v>
                </c:pt>
                <c:pt idx="2">
                  <c:v>55.839943118674036</c:v>
                </c:pt>
              </c:numCache>
            </c:numRef>
          </c:xVal>
          <c:yVal>
            <c:numRef>
              <c:f>Data!$AB$40:$AB$42</c:f>
              <c:numCache>
                <c:formatCode>General</c:formatCode>
                <c:ptCount val="3"/>
                <c:pt idx="0">
                  <c:v>15.29</c:v>
                </c:pt>
                <c:pt idx="1">
                  <c:v>18.47</c:v>
                </c:pt>
                <c:pt idx="2">
                  <c:v>17.8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52-4A5C-AE9F-EDF816296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187663"/>
        <c:axId val="1917186223"/>
      </c:scatterChart>
      <c:valAx>
        <c:axId val="191718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Δ18</a:t>
                </a:r>
                <a:r>
                  <a:rPr lang="en-US"/>
                  <a:t>O shift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186223"/>
        <c:crosses val="autoZero"/>
        <c:crossBetween val="midCat"/>
      </c:valAx>
      <c:valAx>
        <c:axId val="191718622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replacement image analysis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187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Data!$AA$39</c:f>
              <c:strCache>
                <c:ptCount val="1"/>
                <c:pt idx="0">
                  <c:v>Δ18O shift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EB6FB44-DC16-4859-806E-87791B214DB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7FF-4A8C-88D2-280FA21AD04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3B4A2F0-4420-47F4-A88E-B74251D21D3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7FF-4A8C-88D2-280FA21AD04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BDA84C6-FEB6-4371-B1C7-2D3CF12C086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7FF-4A8C-88D2-280FA21AD0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Data!$Y$40:$Y$42</c:f>
              <c:numCache>
                <c:formatCode>General</c:formatCode>
                <c:ptCount val="3"/>
                <c:pt idx="0">
                  <c:v>3</c:v>
                </c:pt>
                <c:pt idx="1">
                  <c:v>19</c:v>
                </c:pt>
                <c:pt idx="2">
                  <c:v>7</c:v>
                </c:pt>
              </c:numCache>
            </c:numRef>
          </c:xVal>
          <c:yVal>
            <c:numRef>
              <c:f>Data!$AA$40:$AA$42</c:f>
              <c:numCache>
                <c:formatCode>0.00</c:formatCode>
                <c:ptCount val="3"/>
                <c:pt idx="0">
                  <c:v>23.355921852803601</c:v>
                </c:pt>
                <c:pt idx="1">
                  <c:v>67.327027575730057</c:v>
                </c:pt>
                <c:pt idx="2">
                  <c:v>55.839943118674036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Data!$X$40:$X$42</c15:f>
                <c15:dlblRangeCache>
                  <c:ptCount val="3"/>
                  <c:pt idx="0">
                    <c:v>Z_014</c:v>
                  </c:pt>
                  <c:pt idx="1">
                    <c:v>Z_015</c:v>
                  </c:pt>
                  <c:pt idx="2">
                    <c:v>Z_016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7FF-4A8C-88D2-280FA21AD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901935"/>
        <c:axId val="400902895"/>
      </c:scatterChart>
      <c:valAx>
        <c:axId val="400901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902895"/>
        <c:crosses val="autoZero"/>
        <c:crossBetween val="midCat"/>
      </c:valAx>
      <c:valAx>
        <c:axId val="40090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</a:t>
                </a:r>
                <a:r>
                  <a:rPr lang="el-GR" baseline="30000"/>
                  <a:t>18</a:t>
                </a:r>
                <a:r>
                  <a:rPr lang="en-US"/>
                  <a:t>O shift (‰)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90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15875</xdr:colOff>
      <xdr:row>2</xdr:row>
      <xdr:rowOff>22225</xdr:rowOff>
    </xdr:from>
    <xdr:to>
      <xdr:col>30</xdr:col>
      <xdr:colOff>520700</xdr:colOff>
      <xdr:row>16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933E89-E8E1-4BF9-B774-576A45835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0</xdr:colOff>
      <xdr:row>17</xdr:row>
      <xdr:rowOff>0</xdr:rowOff>
    </xdr:from>
    <xdr:to>
      <xdr:col>30</xdr:col>
      <xdr:colOff>508000</xdr:colOff>
      <xdr:row>30</xdr:row>
      <xdr:rowOff>184150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42AC6B-1191-4231-B0A7-029B70BCB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466725</xdr:colOff>
      <xdr:row>32</xdr:row>
      <xdr:rowOff>76200</xdr:rowOff>
    </xdr:from>
    <xdr:to>
      <xdr:col>29</xdr:col>
      <xdr:colOff>342900</xdr:colOff>
      <xdr:row>37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44C2EE-5FFD-1771-F918-65FC3F884BD6}"/>
            </a:ext>
          </a:extLst>
        </xdr:cNvPr>
        <xdr:cNvSpPr txBox="1"/>
      </xdr:nvSpPr>
      <xdr:spPr>
        <a:xfrm>
          <a:off x="19488150" y="6657975"/>
          <a:ext cx="3924300" cy="971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USGS49: d18O = -50.55,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dD = -394.7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ENT: d18O = -6.59, dD =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Mmix*d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Omix = M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+ M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(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Mmix*d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Omix -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)/M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33</xdr:col>
      <xdr:colOff>328612</xdr:colOff>
      <xdr:row>33</xdr:row>
      <xdr:rowOff>166687</xdr:rowOff>
    </xdr:from>
    <xdr:to>
      <xdr:col>39</xdr:col>
      <xdr:colOff>42862</xdr:colOff>
      <xdr:row>47</xdr:row>
      <xdr:rowOff>109537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9D524A2-DA81-20C8-44E4-88F9CA55167F}"/>
            </a:ext>
          </a:extLst>
        </xdr:cNvPr>
        <xdr:cNvGrpSpPr/>
      </xdr:nvGrpSpPr>
      <xdr:grpSpPr>
        <a:xfrm>
          <a:off x="25055512" y="6624637"/>
          <a:ext cx="4572000" cy="2609850"/>
          <a:chOff x="24979312" y="6834187"/>
          <a:chExt cx="4552950" cy="2698750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B2DEA329-2BFA-AD1A-F67D-6916999E6190}"/>
              </a:ext>
              <a:ext uri="{147F2762-F138-4A5C-976F-8EAC2B608ADB}">
                <a16:predDERef xmlns:a16="http://schemas.microsoft.com/office/drawing/2014/main" pred="{071A9556-B8AC-C2C4-24D2-6BB04F70B3EC}"/>
              </a:ext>
            </a:extLst>
          </xdr:cNvPr>
          <xdr:cNvGraphicFramePr/>
        </xdr:nvGraphicFramePr>
        <xdr:xfrm>
          <a:off x="24979312" y="6834187"/>
          <a:ext cx="4552950" cy="2698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F35508D1-48AE-FCC3-4B12-458CE28359FB}"/>
              </a:ext>
            </a:extLst>
          </xdr:cNvPr>
          <xdr:cNvCxnSpPr/>
        </xdr:nvCxnSpPr>
        <xdr:spPr>
          <a:xfrm flipV="1">
            <a:off x="25552400" y="7448550"/>
            <a:ext cx="1054100" cy="1511300"/>
          </a:xfrm>
          <a:prstGeom prst="straightConnector1">
            <a:avLst/>
          </a:prstGeom>
          <a:ln w="1587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D432E037-BD4B-7A57-AFBE-92BE27D92830}"/>
              </a:ext>
            </a:extLst>
          </xdr:cNvPr>
          <xdr:cNvCxnSpPr/>
        </xdr:nvCxnSpPr>
        <xdr:spPr>
          <a:xfrm flipV="1">
            <a:off x="26682700" y="7124700"/>
            <a:ext cx="1943100" cy="29210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27</xdr:col>
      <xdr:colOff>33337</xdr:colOff>
      <xdr:row>43</xdr:row>
      <xdr:rowOff>52387</xdr:rowOff>
    </xdr:from>
    <xdr:to>
      <xdr:col>32</xdr:col>
      <xdr:colOff>557212</xdr:colOff>
      <xdr:row>56</xdr:row>
      <xdr:rowOff>195262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E17AFD3-B7CB-43CF-1292-CFA40AF88052}"/>
            </a:ext>
          </a:extLst>
        </xdr:cNvPr>
        <xdr:cNvGrpSpPr/>
      </xdr:nvGrpSpPr>
      <xdr:grpSpPr>
        <a:xfrm>
          <a:off x="19902487" y="8415337"/>
          <a:ext cx="4572000" cy="2619375"/>
          <a:chOff x="19865862" y="8769205"/>
          <a:chExt cx="4564784" cy="2727774"/>
        </a:xfrm>
      </xdr:grpSpPr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071A9556-B8AC-C2C4-24D2-6BB04F70B3EC}"/>
              </a:ext>
            </a:extLst>
          </xdr:cNvPr>
          <xdr:cNvGraphicFramePr/>
        </xdr:nvGraphicFramePr>
        <xdr:xfrm>
          <a:off x="19865862" y="8769205"/>
          <a:ext cx="4564784" cy="272777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4E2EC888-68AA-0189-8A41-DCAEAE49E7C2}"/>
              </a:ext>
            </a:extLst>
          </xdr:cNvPr>
          <xdr:cNvCxnSpPr/>
        </xdr:nvCxnSpPr>
        <xdr:spPr>
          <a:xfrm flipV="1">
            <a:off x="21904293" y="9223535"/>
            <a:ext cx="2078181" cy="198838"/>
          </a:xfrm>
          <a:prstGeom prst="straightConnector1">
            <a:avLst/>
          </a:prstGeom>
          <a:ln w="1587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0.15007</cdr:x>
      <cdr:y>0.28648</cdr:y>
    </cdr:from>
    <cdr:to>
      <cdr:x>0.41283</cdr:x>
      <cdr:y>0.75676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75948AA7-1B9F-526F-D828-487B07037F49}"/>
            </a:ext>
          </a:extLst>
        </cdr:cNvPr>
        <cdr:cNvCxnSpPr/>
      </cdr:nvCxnSpPr>
      <cdr:spPr>
        <a:xfrm xmlns:a="http://schemas.openxmlformats.org/drawingml/2006/main" flipV="1">
          <a:off x="685047" y="781452"/>
          <a:ext cx="1199445" cy="1282828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Ayers, John C" id="{640ACE1A-6E73-4BB2-A098-705CB59CC362}" userId="Ayers, John C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1" dT="2025-06-24T14:46:07.25" personId="{640ACE1A-6E73-4BB2-A098-705CB59CC362}" id="{D0DFB63B-DE18-4B8C-9DD2-ED8DA8EAEC66}">
    <text xml:space="preserve">The mass of oxygen contributed to the fluid by dissolution of zircon: MO,MTZ = (MO,fl*d18Ofl - MO,USGS49d18OUSGS49)/d18OMTZ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0A691-E90C-C649-8347-6B49159F22E4}">
  <dimension ref="A1:AB72"/>
  <sheetViews>
    <sheetView tabSelected="1" topLeftCell="W1" zoomScale="99" zoomScaleNormal="99" workbookViewId="0">
      <pane ySplit="1" topLeftCell="A44" activePane="bottomLeft" state="frozen"/>
      <selection pane="bottomLeft" activeCell="Z53" sqref="Z51:Z53"/>
    </sheetView>
  </sheetViews>
  <sheetFormatPr defaultColWidth="10.625" defaultRowHeight="15.6"/>
  <cols>
    <col min="2" max="2" width="22.125" bestFit="1" customWidth="1"/>
    <col min="3" max="3" width="18.125" hidden="1" customWidth="1"/>
    <col min="4" max="4" width="13.75" hidden="1" customWidth="1"/>
    <col min="5" max="5" width="17.125" hidden="1" customWidth="1"/>
    <col min="6" max="6" width="13" hidden="1" customWidth="1"/>
    <col min="7" max="7" width="17.125" hidden="1" customWidth="1"/>
    <col min="8" max="8" width="14.75" hidden="1" customWidth="1"/>
    <col min="9" max="9" width="18.125" hidden="1" customWidth="1"/>
    <col min="10" max="13" width="18.125" customWidth="1"/>
    <col min="14" max="14" width="14" bestFit="1" customWidth="1"/>
    <col min="15" max="15" width="14" customWidth="1"/>
  </cols>
  <sheetData>
    <row r="1" spans="1:25" ht="29.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6</v>
      </c>
      <c r="I1" s="1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1" t="s">
        <v>12</v>
      </c>
      <c r="O1" s="3" t="s">
        <v>13</v>
      </c>
      <c r="P1" s="10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V1" s="11"/>
    </row>
    <row r="2" spans="1:25">
      <c r="A2" t="s">
        <v>20</v>
      </c>
      <c r="B2" t="s">
        <v>21</v>
      </c>
      <c r="C2" s="2">
        <v>45485.791412037041</v>
      </c>
      <c r="D2">
        <v>-38.83</v>
      </c>
      <c r="E2">
        <v>0.08</v>
      </c>
      <c r="F2">
        <v>-38.83</v>
      </c>
      <c r="H2">
        <v>-6.34</v>
      </c>
      <c r="I2">
        <v>0.01</v>
      </c>
      <c r="N2">
        <v>-6.34</v>
      </c>
      <c r="W2" t="s">
        <v>22</v>
      </c>
      <c r="X2" t="s">
        <v>23</v>
      </c>
    </row>
    <row r="3" spans="1:25">
      <c r="A3" t="s">
        <v>24</v>
      </c>
      <c r="B3" t="s">
        <v>25</v>
      </c>
      <c r="C3" s="2">
        <v>45485.992789351847</v>
      </c>
      <c r="D3">
        <v>-394.7</v>
      </c>
      <c r="E3">
        <v>0.99</v>
      </c>
      <c r="F3">
        <v>-394.7</v>
      </c>
      <c r="G3">
        <v>0</v>
      </c>
      <c r="H3">
        <v>-50.55</v>
      </c>
      <c r="I3">
        <v>7.0000000000000007E-2</v>
      </c>
      <c r="N3">
        <v>-50.55</v>
      </c>
      <c r="W3" s="4" t="s">
        <v>26</v>
      </c>
      <c r="X3">
        <v>-50.55</v>
      </c>
      <c r="Y3">
        <v>-50.55</v>
      </c>
    </row>
    <row r="4" spans="1:25">
      <c r="A4" t="s">
        <v>24</v>
      </c>
      <c r="B4" t="s">
        <v>25</v>
      </c>
      <c r="C4" s="2">
        <v>45487.153449074067</v>
      </c>
      <c r="D4">
        <v>-394.7</v>
      </c>
      <c r="E4">
        <v>0.62</v>
      </c>
      <c r="F4">
        <v>-394.7</v>
      </c>
      <c r="G4">
        <v>0</v>
      </c>
      <c r="H4">
        <v>-50.55</v>
      </c>
      <c r="I4">
        <v>0.04</v>
      </c>
      <c r="N4">
        <v>-50.55</v>
      </c>
      <c r="W4" s="4" t="s">
        <v>27</v>
      </c>
      <c r="X4">
        <v>-6.59</v>
      </c>
      <c r="Y4">
        <v>-6.59</v>
      </c>
    </row>
    <row r="5" spans="1:25">
      <c r="A5" t="s">
        <v>24</v>
      </c>
      <c r="B5" t="s">
        <v>25</v>
      </c>
      <c r="C5" s="2">
        <v>45488.362951388888</v>
      </c>
      <c r="D5">
        <v>-394.7</v>
      </c>
      <c r="E5">
        <v>0.65</v>
      </c>
      <c r="F5">
        <v>-394.7</v>
      </c>
      <c r="G5">
        <v>0</v>
      </c>
      <c r="H5">
        <v>-50.55</v>
      </c>
      <c r="I5">
        <v>0.04</v>
      </c>
      <c r="N5">
        <v>-50.55</v>
      </c>
    </row>
    <row r="6" spans="1:25">
      <c r="A6" t="s">
        <v>24</v>
      </c>
      <c r="B6" t="s">
        <v>25</v>
      </c>
      <c r="C6" s="2">
        <v>45489.521365740737</v>
      </c>
      <c r="D6">
        <v>-394.7</v>
      </c>
      <c r="E6">
        <v>0.57999999999999996</v>
      </c>
      <c r="F6">
        <v>-394.7</v>
      </c>
      <c r="G6">
        <v>0</v>
      </c>
      <c r="H6">
        <v>-50.55</v>
      </c>
      <c r="I6">
        <v>0.05</v>
      </c>
      <c r="N6">
        <v>-50.55</v>
      </c>
      <c r="W6" s="4" t="s">
        <v>28</v>
      </c>
      <c r="X6" s="4" t="s">
        <v>29</v>
      </c>
    </row>
    <row r="7" spans="1:25">
      <c r="A7" t="s">
        <v>24</v>
      </c>
      <c r="B7" t="s">
        <v>25</v>
      </c>
      <c r="C7" s="2">
        <v>45490.427916666667</v>
      </c>
      <c r="D7">
        <v>-394.7</v>
      </c>
      <c r="E7">
        <v>0.66</v>
      </c>
      <c r="F7">
        <v>-394.7</v>
      </c>
      <c r="G7">
        <v>0</v>
      </c>
      <c r="H7">
        <v>-50.55</v>
      </c>
      <c r="I7">
        <v>0.04</v>
      </c>
      <c r="N7">
        <v>-50.55</v>
      </c>
      <c r="W7">
        <v>-50.55</v>
      </c>
      <c r="X7">
        <v>-50.55</v>
      </c>
    </row>
    <row r="8" spans="1:25">
      <c r="A8" t="s">
        <v>24</v>
      </c>
      <c r="B8" t="s">
        <v>25</v>
      </c>
      <c r="C8" s="2">
        <v>45491.589259259257</v>
      </c>
      <c r="D8">
        <v>-394.7</v>
      </c>
      <c r="E8">
        <v>0.61</v>
      </c>
      <c r="F8">
        <v>-394.7</v>
      </c>
      <c r="G8">
        <v>0</v>
      </c>
      <c r="H8">
        <v>-50.55</v>
      </c>
      <c r="I8">
        <v>0.03</v>
      </c>
      <c r="N8">
        <v>-50.55</v>
      </c>
    </row>
    <row r="9" spans="1:25">
      <c r="A9" t="s">
        <v>24</v>
      </c>
      <c r="B9" t="s">
        <v>25</v>
      </c>
      <c r="C9" s="2">
        <v>45492.799502314818</v>
      </c>
      <c r="D9">
        <v>-394.7</v>
      </c>
      <c r="E9">
        <v>0.64</v>
      </c>
      <c r="F9">
        <v>-394.7</v>
      </c>
      <c r="G9">
        <v>0</v>
      </c>
      <c r="H9">
        <v>-50.55</v>
      </c>
      <c r="I9">
        <v>0.04</v>
      </c>
      <c r="N9">
        <v>-50.55</v>
      </c>
      <c r="W9" s="4" t="s">
        <v>30</v>
      </c>
      <c r="X9" s="9" t="s">
        <v>31</v>
      </c>
    </row>
    <row r="10" spans="1:25">
      <c r="A10" t="s">
        <v>24</v>
      </c>
      <c r="B10" t="s">
        <v>25</v>
      </c>
      <c r="C10" s="2">
        <v>45493.958749999998</v>
      </c>
      <c r="D10">
        <v>-394.7</v>
      </c>
      <c r="E10">
        <v>0.73</v>
      </c>
      <c r="F10">
        <v>-394.7</v>
      </c>
      <c r="G10">
        <v>0</v>
      </c>
      <c r="H10">
        <v>-50.55</v>
      </c>
      <c r="I10">
        <v>0.06</v>
      </c>
      <c r="N10">
        <v>-50.55</v>
      </c>
      <c r="W10">
        <v>-6.59</v>
      </c>
      <c r="X10">
        <v>-6.59</v>
      </c>
    </row>
    <row r="11" spans="1:25">
      <c r="A11" t="s">
        <v>24</v>
      </c>
      <c r="B11" t="s">
        <v>25</v>
      </c>
      <c r="C11" s="2">
        <v>45494.866099537037</v>
      </c>
      <c r="D11">
        <v>-394.7</v>
      </c>
      <c r="E11">
        <v>0.77</v>
      </c>
      <c r="F11">
        <v>-394.7</v>
      </c>
      <c r="G11">
        <v>0</v>
      </c>
      <c r="H11">
        <v>-50.55</v>
      </c>
      <c r="I11">
        <v>0.09</v>
      </c>
      <c r="N11">
        <v>-50.55</v>
      </c>
    </row>
    <row r="12" spans="1:25">
      <c r="A12" t="s">
        <v>32</v>
      </c>
      <c r="B12" t="s">
        <v>33</v>
      </c>
      <c r="C12" s="2">
        <v>45486.144259259258</v>
      </c>
      <c r="D12">
        <v>32.799999999999997</v>
      </c>
      <c r="E12">
        <v>0.16</v>
      </c>
      <c r="F12">
        <v>32.799999999999997</v>
      </c>
      <c r="G12">
        <v>0</v>
      </c>
      <c r="H12">
        <v>4.95</v>
      </c>
      <c r="I12">
        <v>0.02</v>
      </c>
      <c r="N12">
        <v>4.95</v>
      </c>
      <c r="W12" t="s">
        <v>34</v>
      </c>
      <c r="X12">
        <f>0.0020052</f>
        <v>2.0052E-3</v>
      </c>
    </row>
    <row r="13" spans="1:25">
      <c r="A13" t="s">
        <v>32</v>
      </c>
      <c r="B13" t="s">
        <v>33</v>
      </c>
      <c r="C13" s="2">
        <v>45487.254317129627</v>
      </c>
      <c r="D13">
        <v>32.799999999999997</v>
      </c>
      <c r="E13">
        <v>0.4</v>
      </c>
      <c r="F13">
        <v>32.799999999999997</v>
      </c>
      <c r="G13">
        <v>0</v>
      </c>
      <c r="H13">
        <v>4.95</v>
      </c>
      <c r="I13">
        <v>0.04</v>
      </c>
      <c r="N13">
        <v>4.95</v>
      </c>
    </row>
    <row r="14" spans="1:25">
      <c r="A14" t="s">
        <v>32</v>
      </c>
      <c r="B14" t="s">
        <v>33</v>
      </c>
      <c r="C14" s="2">
        <v>45488.463692129633</v>
      </c>
      <c r="D14">
        <v>32.799999999999997</v>
      </c>
      <c r="E14">
        <v>0.43</v>
      </c>
      <c r="F14">
        <v>32.799999999999997</v>
      </c>
      <c r="G14">
        <v>0</v>
      </c>
      <c r="H14">
        <v>4.95</v>
      </c>
      <c r="I14">
        <v>0.03</v>
      </c>
      <c r="N14">
        <v>4.95</v>
      </c>
    </row>
    <row r="15" spans="1:25">
      <c r="A15" t="s">
        <v>32</v>
      </c>
      <c r="B15" t="s">
        <v>33</v>
      </c>
      <c r="C15" s="2">
        <v>45489.57172453704</v>
      </c>
      <c r="D15">
        <v>32.799999999999997</v>
      </c>
      <c r="E15">
        <v>1.03</v>
      </c>
      <c r="F15">
        <v>32.799999999999997</v>
      </c>
      <c r="G15">
        <v>0</v>
      </c>
      <c r="H15">
        <v>4.95</v>
      </c>
      <c r="I15">
        <v>0.06</v>
      </c>
      <c r="N15">
        <v>4.95</v>
      </c>
    </row>
    <row r="16" spans="1:25">
      <c r="A16" t="s">
        <v>32</v>
      </c>
      <c r="B16" t="s">
        <v>33</v>
      </c>
      <c r="C16" s="2">
        <v>45490.57949074074</v>
      </c>
      <c r="D16">
        <v>32.799999999999997</v>
      </c>
      <c r="E16">
        <v>0.18</v>
      </c>
      <c r="F16">
        <v>32.799999999999997</v>
      </c>
      <c r="G16">
        <v>0</v>
      </c>
      <c r="H16">
        <v>4.95</v>
      </c>
      <c r="I16">
        <v>0.02</v>
      </c>
      <c r="N16">
        <v>4.95</v>
      </c>
    </row>
    <row r="17" spans="1:22">
      <c r="A17" t="s">
        <v>32</v>
      </c>
      <c r="B17" t="s">
        <v>33</v>
      </c>
      <c r="C17" s="2">
        <v>45491.69017361111</v>
      </c>
      <c r="D17">
        <v>32.799999999999997</v>
      </c>
      <c r="E17">
        <v>0.37</v>
      </c>
      <c r="F17">
        <v>32.799999999999997</v>
      </c>
      <c r="G17">
        <v>0</v>
      </c>
      <c r="H17">
        <v>4.95</v>
      </c>
      <c r="I17">
        <v>0.03</v>
      </c>
      <c r="N17">
        <v>4.95</v>
      </c>
    </row>
    <row r="18" spans="1:22">
      <c r="A18" t="s">
        <v>32</v>
      </c>
      <c r="B18" t="s">
        <v>33</v>
      </c>
      <c r="C18" s="2">
        <v>45492.900300925918</v>
      </c>
      <c r="D18">
        <v>32.799999999999997</v>
      </c>
      <c r="E18">
        <v>0.31</v>
      </c>
      <c r="F18">
        <v>32.799999999999997</v>
      </c>
      <c r="G18">
        <v>0</v>
      </c>
      <c r="H18">
        <v>4.95</v>
      </c>
      <c r="I18">
        <v>0.04</v>
      </c>
      <c r="N18">
        <v>4.95</v>
      </c>
    </row>
    <row r="19" spans="1:22">
      <c r="A19" t="s">
        <v>32</v>
      </c>
      <c r="B19" t="s">
        <v>33</v>
      </c>
      <c r="C19" s="2">
        <v>45494.009155092594</v>
      </c>
      <c r="D19">
        <v>32.799999999999997</v>
      </c>
      <c r="E19">
        <v>1.04</v>
      </c>
      <c r="F19">
        <v>32.799999999999997</v>
      </c>
      <c r="G19">
        <v>0</v>
      </c>
      <c r="H19">
        <v>4.95</v>
      </c>
      <c r="I19">
        <v>0.09</v>
      </c>
      <c r="N19">
        <v>4.95</v>
      </c>
    </row>
    <row r="20" spans="1:22">
      <c r="A20" t="s">
        <v>32</v>
      </c>
      <c r="B20" t="s">
        <v>33</v>
      </c>
      <c r="C20" s="2">
        <v>45495.017812500002</v>
      </c>
      <c r="D20">
        <v>32.799999999999997</v>
      </c>
      <c r="E20">
        <v>0.14000000000000001</v>
      </c>
      <c r="F20">
        <v>32.799999999999997</v>
      </c>
      <c r="G20">
        <v>0</v>
      </c>
      <c r="H20">
        <v>4.95</v>
      </c>
      <c r="I20">
        <v>0.02</v>
      </c>
      <c r="N20">
        <v>4.95</v>
      </c>
    </row>
    <row r="21" spans="1:22">
      <c r="A21" t="s">
        <v>35</v>
      </c>
      <c r="B21" t="s">
        <v>36</v>
      </c>
      <c r="C21" s="2">
        <v>45485.841666666667</v>
      </c>
      <c r="D21">
        <v>-38.659999999999997</v>
      </c>
      <c r="E21">
        <v>0.04</v>
      </c>
      <c r="F21">
        <v>-38.65</v>
      </c>
      <c r="G21">
        <v>0.02</v>
      </c>
      <c r="H21">
        <v>-6.35</v>
      </c>
      <c r="I21">
        <v>0.03</v>
      </c>
      <c r="N21">
        <v>-6.34</v>
      </c>
    </row>
    <row r="22" spans="1:22">
      <c r="A22" t="s">
        <v>35</v>
      </c>
      <c r="B22" t="s">
        <v>36</v>
      </c>
      <c r="C22" s="2">
        <v>45485.891921296286</v>
      </c>
      <c r="D22">
        <v>-38.630000000000003</v>
      </c>
      <c r="E22">
        <v>0.05</v>
      </c>
      <c r="F22">
        <v>-38.65</v>
      </c>
      <c r="G22">
        <v>0.02</v>
      </c>
      <c r="H22">
        <v>-6.32</v>
      </c>
      <c r="I22">
        <v>0.02</v>
      </c>
      <c r="N22">
        <v>-6.34</v>
      </c>
    </row>
    <row r="23" spans="1:22">
      <c r="A23" t="s">
        <v>35</v>
      </c>
      <c r="B23" t="s">
        <v>36</v>
      </c>
      <c r="C23" s="2">
        <v>45485.942349537043</v>
      </c>
      <c r="D23">
        <v>-38.67</v>
      </c>
      <c r="E23">
        <v>0.04</v>
      </c>
      <c r="F23">
        <v>-38.65</v>
      </c>
      <c r="G23">
        <v>0.02</v>
      </c>
      <c r="H23">
        <v>-6.36</v>
      </c>
      <c r="I23">
        <v>0.01</v>
      </c>
      <c r="N23">
        <v>-6.34</v>
      </c>
    </row>
    <row r="24" spans="1:22">
      <c r="A24" t="s">
        <v>37</v>
      </c>
      <c r="B24" t="s">
        <v>38</v>
      </c>
      <c r="C24" s="2">
        <v>45486.169849537036</v>
      </c>
      <c r="D24">
        <v>-40.450000000000003</v>
      </c>
      <c r="E24">
        <v>0.13</v>
      </c>
      <c r="F24">
        <v>-40.340000000000003</v>
      </c>
      <c r="G24">
        <v>0.16</v>
      </c>
      <c r="H24">
        <v>-7.71</v>
      </c>
      <c r="I24">
        <v>0.03</v>
      </c>
      <c r="J24" s="5">
        <v>104.0568</v>
      </c>
      <c r="K24">
        <v>2400</v>
      </c>
      <c r="L24" s="7">
        <f>K24/(K24+J24)</f>
        <v>0.9584447125959763</v>
      </c>
      <c r="M24" s="7"/>
      <c r="N24">
        <v>-7.7</v>
      </c>
      <c r="O24" s="8">
        <f t="shared" ref="O24:O45" si="0">L24*ENT+(1-L24)*USGS49</f>
        <v>-8.4167704342808811</v>
      </c>
      <c r="P24">
        <f t="shared" ref="P24:P59" si="1">N24*0.001*X$12+X$12</f>
        <v>1.9897599599999999E-3</v>
      </c>
      <c r="Q24" s="8">
        <f t="shared" ref="Q24:Q48" si="2">((J24+K24)*N24-K24*ENT)/J24</f>
        <v>-33.3014023110455</v>
      </c>
      <c r="R24" s="8">
        <f t="shared" ref="R24:R48" si="3">Q24-USGS49</f>
        <v>17.248597688954497</v>
      </c>
      <c r="S24" s="8">
        <f t="shared" ref="S24:S48" si="4">((16/18)*(J24/1000)*Q24-(16/18)*(J24/1000)*USGS49)/4.93</f>
        <v>0.32361214874915484</v>
      </c>
      <c r="T24" s="8">
        <f>S24*183.3/(4*16)</f>
        <v>0.92684541977687629</v>
      </c>
      <c r="U24" s="8">
        <f>1000000*T24/183.3</f>
        <v>5056.439824205544</v>
      </c>
      <c r="V24" s="8"/>
    </row>
    <row r="25" spans="1:22">
      <c r="A25" t="s">
        <v>37</v>
      </c>
      <c r="B25" t="s">
        <v>38</v>
      </c>
      <c r="C25" s="2">
        <v>45490.605092592603</v>
      </c>
      <c r="D25">
        <v>-40.22</v>
      </c>
      <c r="E25">
        <v>0.42</v>
      </c>
      <c r="F25">
        <v>-40.340000000000003</v>
      </c>
      <c r="G25">
        <v>0.16</v>
      </c>
      <c r="H25">
        <v>-7.69</v>
      </c>
      <c r="I25">
        <v>0.04</v>
      </c>
      <c r="J25" s="5">
        <v>104.0568</v>
      </c>
      <c r="K25">
        <v>2400</v>
      </c>
      <c r="L25" s="7">
        <f t="shared" ref="L25:L59" si="5">K25/(K25+J25)</f>
        <v>0.9584447125959763</v>
      </c>
      <c r="M25" s="7"/>
      <c r="N25">
        <v>-7.7</v>
      </c>
      <c r="O25" s="8">
        <f t="shared" si="0"/>
        <v>-8.4167704342808811</v>
      </c>
      <c r="P25">
        <f t="shared" si="1"/>
        <v>1.9897599599999999E-3</v>
      </c>
      <c r="Q25" s="8">
        <f t="shared" si="2"/>
        <v>-33.3014023110455</v>
      </c>
      <c r="R25" s="8">
        <f t="shared" si="3"/>
        <v>17.248597688954497</v>
      </c>
      <c r="S25" s="8">
        <f t="shared" si="4"/>
        <v>0.32361214874915484</v>
      </c>
      <c r="T25" s="8">
        <f t="shared" ref="T25:T48" si="6">S25*183.3/(4*16)</f>
        <v>0.92684541977687629</v>
      </c>
      <c r="U25" s="8">
        <f t="shared" ref="U25:U48" si="7">1000000*T25/183.3</f>
        <v>5056.439824205544</v>
      </c>
      <c r="V25" s="8"/>
    </row>
    <row r="26" spans="1:22">
      <c r="A26" t="s">
        <v>39</v>
      </c>
      <c r="B26" t="s">
        <v>40</v>
      </c>
      <c r="C26" s="2">
        <v>45486.220347222217</v>
      </c>
      <c r="D26">
        <v>-44.86</v>
      </c>
      <c r="E26">
        <v>0.08</v>
      </c>
      <c r="F26">
        <v>-44.75</v>
      </c>
      <c r="G26">
        <v>0.16</v>
      </c>
      <c r="H26">
        <v>-7.71</v>
      </c>
      <c r="I26">
        <v>0.01</v>
      </c>
      <c r="J26" s="5">
        <f>1936.391-1798.5588</f>
        <v>137.83220000000006</v>
      </c>
      <c r="K26" s="6">
        <f>(4.3729-1.929)*1000</f>
        <v>2443.8999999999992</v>
      </c>
      <c r="L26" s="7">
        <f t="shared" si="5"/>
        <v>0.94661251077861586</v>
      </c>
      <c r="M26" s="7"/>
      <c r="N26">
        <v>-7.69</v>
      </c>
      <c r="O26" s="8">
        <f t="shared" si="0"/>
        <v>-8.9369140261720457</v>
      </c>
      <c r="P26">
        <f t="shared" si="1"/>
        <v>1.989780012E-3</v>
      </c>
      <c r="Q26" s="8">
        <f t="shared" si="2"/>
        <v>-27.194078147196397</v>
      </c>
      <c r="R26" s="8">
        <f t="shared" si="3"/>
        <v>23.355921852803601</v>
      </c>
      <c r="S26" s="8">
        <f t="shared" si="4"/>
        <v>0.58042787324768952</v>
      </c>
      <c r="T26" s="8">
        <f t="shared" si="6"/>
        <v>1.6623817057234609</v>
      </c>
      <c r="U26" s="8">
        <f t="shared" si="7"/>
        <v>9069.1855194951495</v>
      </c>
      <c r="V26" s="8"/>
    </row>
    <row r="27" spans="1:22">
      <c r="A27" t="s">
        <v>39</v>
      </c>
      <c r="B27" t="s">
        <v>40</v>
      </c>
      <c r="C27" s="2">
        <v>45490.655613425923</v>
      </c>
      <c r="D27">
        <v>-44.63</v>
      </c>
      <c r="E27">
        <v>0.05</v>
      </c>
      <c r="F27">
        <v>-44.75</v>
      </c>
      <c r="G27">
        <v>0.16</v>
      </c>
      <c r="H27">
        <v>-7.68</v>
      </c>
      <c r="I27">
        <v>0.01</v>
      </c>
      <c r="J27" s="5">
        <f>1936.391-1798.5588</f>
        <v>137.83220000000006</v>
      </c>
      <c r="K27" s="6">
        <f>(4.3729-1.929)*1000</f>
        <v>2443.8999999999992</v>
      </c>
      <c r="L27" s="7">
        <f t="shared" si="5"/>
        <v>0.94661251077861586</v>
      </c>
      <c r="M27" s="7"/>
      <c r="N27">
        <v>-7.69</v>
      </c>
      <c r="O27" s="8">
        <f t="shared" si="0"/>
        <v>-8.9369140261720457</v>
      </c>
      <c r="P27">
        <f t="shared" si="1"/>
        <v>1.989780012E-3</v>
      </c>
      <c r="Q27" s="8">
        <f t="shared" si="2"/>
        <v>-27.194078147196397</v>
      </c>
      <c r="R27" s="8">
        <f t="shared" si="3"/>
        <v>23.355921852803601</v>
      </c>
      <c r="S27" s="8">
        <f t="shared" si="4"/>
        <v>0.58042787324768952</v>
      </c>
      <c r="T27" s="8">
        <f t="shared" si="6"/>
        <v>1.6623817057234609</v>
      </c>
      <c r="U27" s="8">
        <f t="shared" si="7"/>
        <v>9069.1855194951495</v>
      </c>
      <c r="V27" s="8"/>
    </row>
    <row r="28" spans="1:22">
      <c r="A28" t="s">
        <v>41</v>
      </c>
      <c r="B28" t="s">
        <v>42</v>
      </c>
      <c r="C28" s="2">
        <v>45486.270833333343</v>
      </c>
      <c r="D28">
        <v>-40.89</v>
      </c>
      <c r="E28">
        <v>0.03</v>
      </c>
      <c r="F28">
        <v>-40.71</v>
      </c>
      <c r="G28">
        <v>0.25</v>
      </c>
      <c r="H28">
        <v>-4.82</v>
      </c>
      <c r="I28">
        <v>0.02</v>
      </c>
      <c r="J28" s="5">
        <f>1995.624-1796.2349</f>
        <v>199.3891000000001</v>
      </c>
      <c r="K28" s="6">
        <f>(4.4137-1.9956)*1000</f>
        <v>2418.1000000000004</v>
      </c>
      <c r="L28" s="7">
        <f t="shared" si="5"/>
        <v>0.92382428641250114</v>
      </c>
      <c r="M28" s="7"/>
      <c r="N28">
        <v>-4.8099999999999996</v>
      </c>
      <c r="O28" s="8">
        <f t="shared" si="0"/>
        <v>-9.9386843693064506</v>
      </c>
      <c r="P28">
        <f t="shared" si="1"/>
        <v>1.995554988E-3</v>
      </c>
      <c r="Q28" s="8">
        <f t="shared" si="2"/>
        <v>16.777027575730063</v>
      </c>
      <c r="R28" s="8">
        <f t="shared" si="3"/>
        <v>67.327027575730057</v>
      </c>
      <c r="S28" s="8">
        <f t="shared" si="4"/>
        <v>2.4204237879648418</v>
      </c>
      <c r="T28" s="8">
        <f t="shared" si="6"/>
        <v>6.9322450052180553</v>
      </c>
      <c r="U28" s="8">
        <f t="shared" si="7"/>
        <v>37819.121686950653</v>
      </c>
      <c r="V28" s="8"/>
    </row>
    <row r="29" spans="1:22">
      <c r="A29" t="s">
        <v>41</v>
      </c>
      <c r="B29" t="s">
        <v>42</v>
      </c>
      <c r="C29" s="2">
        <v>45490.706099537027</v>
      </c>
      <c r="D29">
        <v>-40.54</v>
      </c>
      <c r="E29">
        <v>0.32</v>
      </c>
      <c r="F29">
        <v>-40.71</v>
      </c>
      <c r="G29">
        <v>0.25</v>
      </c>
      <c r="H29">
        <v>-4.8</v>
      </c>
      <c r="I29">
        <v>0.03</v>
      </c>
      <c r="J29" s="5">
        <f>1995.624-1796.2349</f>
        <v>199.3891000000001</v>
      </c>
      <c r="K29" s="6">
        <f>(4.4137-1.9956)*1000</f>
        <v>2418.1000000000004</v>
      </c>
      <c r="L29" s="7">
        <f t="shared" si="5"/>
        <v>0.92382428641250114</v>
      </c>
      <c r="M29" s="7"/>
      <c r="N29">
        <v>-4.8099999999999996</v>
      </c>
      <c r="O29" s="8">
        <f t="shared" si="0"/>
        <v>-9.9386843693064506</v>
      </c>
      <c r="P29">
        <f t="shared" si="1"/>
        <v>1.995554988E-3</v>
      </c>
      <c r="Q29" s="8">
        <f t="shared" si="2"/>
        <v>16.777027575730063</v>
      </c>
      <c r="R29" s="8">
        <f t="shared" si="3"/>
        <v>67.327027575730057</v>
      </c>
      <c r="S29" s="8">
        <f t="shared" si="4"/>
        <v>2.4204237879648418</v>
      </c>
      <c r="T29" s="8">
        <f t="shared" si="6"/>
        <v>6.9322450052180553</v>
      </c>
      <c r="U29" s="8">
        <f t="shared" si="7"/>
        <v>37819.121686950653</v>
      </c>
      <c r="V29" s="8"/>
    </row>
    <row r="30" spans="1:22">
      <c r="A30" t="s">
        <v>43</v>
      </c>
      <c r="B30" t="s">
        <v>44</v>
      </c>
      <c r="C30" s="2">
        <v>45486.32130787037</v>
      </c>
      <c r="D30">
        <v>-52.76</v>
      </c>
      <c r="E30">
        <v>0.08</v>
      </c>
      <c r="F30">
        <v>-52.57</v>
      </c>
      <c r="G30">
        <v>0.27</v>
      </c>
      <c r="H30">
        <v>-7.83</v>
      </c>
      <c r="I30">
        <v>0.02</v>
      </c>
      <c r="J30" s="5">
        <f>1880.3652-1810.4256</f>
        <v>69.939599999999928</v>
      </c>
      <c r="K30" s="6">
        <f>(4.2863-1.8819)*1000</f>
        <v>2404.4</v>
      </c>
      <c r="L30" s="7">
        <f t="shared" si="5"/>
        <v>0.97173403359829824</v>
      </c>
      <c r="M30" s="7"/>
      <c r="N30">
        <v>-7.83</v>
      </c>
      <c r="O30" s="8">
        <f t="shared" si="0"/>
        <v>-7.8325718830188098</v>
      </c>
      <c r="P30">
        <f t="shared" si="1"/>
        <v>1.9894992839999998E-3</v>
      </c>
      <c r="Q30" s="8">
        <f t="shared" si="2"/>
        <v>-50.459011318337616</v>
      </c>
      <c r="R30" s="8">
        <f t="shared" si="3"/>
        <v>9.0988681662381055E-2</v>
      </c>
      <c r="S30" s="15">
        <f t="shared" si="4"/>
        <v>1.1473900383131993E-3</v>
      </c>
      <c r="T30" s="15">
        <f t="shared" si="6"/>
        <v>3.2861967816063976E-3</v>
      </c>
      <c r="U30" s="8">
        <f t="shared" si="7"/>
        <v>17.927969348643739</v>
      </c>
      <c r="V30" s="8"/>
    </row>
    <row r="31" spans="1:22">
      <c r="A31" t="s">
        <v>43</v>
      </c>
      <c r="B31" t="s">
        <v>44</v>
      </c>
      <c r="C31" s="2">
        <v>45490.756597222222</v>
      </c>
      <c r="D31">
        <v>-52.38</v>
      </c>
      <c r="E31">
        <v>0.31</v>
      </c>
      <c r="F31">
        <v>-52.57</v>
      </c>
      <c r="G31">
        <v>0.27</v>
      </c>
      <c r="H31">
        <v>-7.83</v>
      </c>
      <c r="I31">
        <v>0.06</v>
      </c>
      <c r="J31" s="5">
        <f>1880.3652-1810.4256</f>
        <v>69.939599999999928</v>
      </c>
      <c r="K31" s="6">
        <f>(4.2863-1.8819)*1000</f>
        <v>2404.4</v>
      </c>
      <c r="L31" s="7">
        <f t="shared" si="5"/>
        <v>0.97173403359829824</v>
      </c>
      <c r="M31" s="7"/>
      <c r="N31">
        <v>-7.83</v>
      </c>
      <c r="O31" s="8">
        <f t="shared" si="0"/>
        <v>-7.8325718830188098</v>
      </c>
      <c r="P31">
        <f t="shared" si="1"/>
        <v>1.9894992839999998E-3</v>
      </c>
      <c r="Q31" s="8">
        <f t="shared" si="2"/>
        <v>-50.459011318337616</v>
      </c>
      <c r="R31" s="8">
        <f t="shared" si="3"/>
        <v>9.0988681662381055E-2</v>
      </c>
      <c r="S31" s="15">
        <f t="shared" si="4"/>
        <v>1.1473900383131993E-3</v>
      </c>
      <c r="T31" s="15">
        <f t="shared" si="6"/>
        <v>3.2861967816063976E-3</v>
      </c>
      <c r="U31" s="8">
        <f t="shared" si="7"/>
        <v>17.927969348643739</v>
      </c>
      <c r="V31" s="8"/>
    </row>
    <row r="32" spans="1:22">
      <c r="A32" t="s">
        <v>45</v>
      </c>
      <c r="B32" t="s">
        <v>46</v>
      </c>
      <c r="C32" s="2">
        <v>45486.371782407397</v>
      </c>
      <c r="D32">
        <v>-50.1</v>
      </c>
      <c r="E32">
        <v>0.1</v>
      </c>
      <c r="F32">
        <v>-49.94</v>
      </c>
      <c r="G32">
        <v>0.24</v>
      </c>
      <c r="H32">
        <v>-7.47</v>
      </c>
      <c r="I32">
        <v>0.01</v>
      </c>
      <c r="J32" s="5">
        <f>1858.196-1804.0966</f>
        <v>54.099399999999832</v>
      </c>
      <c r="K32">
        <v>2400</v>
      </c>
      <c r="L32" s="7">
        <f t="shared" si="5"/>
        <v>0.97795549764610179</v>
      </c>
      <c r="M32" s="7"/>
      <c r="N32">
        <v>-7.46</v>
      </c>
      <c r="O32" s="8">
        <f t="shared" si="0"/>
        <v>-7.559076323477365</v>
      </c>
      <c r="P32">
        <f t="shared" si="1"/>
        <v>1.9902412079999998E-3</v>
      </c>
      <c r="Q32" s="8">
        <f t="shared" si="2"/>
        <v>-46.055622132593129</v>
      </c>
      <c r="R32" s="8">
        <f t="shared" si="3"/>
        <v>4.4943778674068682</v>
      </c>
      <c r="S32" s="8">
        <f t="shared" si="4"/>
        <v>4.3839196934864127E-2</v>
      </c>
      <c r="T32" s="8">
        <f t="shared" si="6"/>
        <v>0.1255581999712593</v>
      </c>
      <c r="U32" s="8">
        <f t="shared" si="7"/>
        <v>684.98745210725201</v>
      </c>
      <c r="V32" s="8"/>
    </row>
    <row r="33" spans="1:28">
      <c r="A33" t="s">
        <v>45</v>
      </c>
      <c r="B33" t="s">
        <v>46</v>
      </c>
      <c r="C33" s="2">
        <v>45490.807083333333</v>
      </c>
      <c r="D33">
        <v>-49.77</v>
      </c>
      <c r="E33">
        <v>0.04</v>
      </c>
      <c r="F33">
        <v>-49.94</v>
      </c>
      <c r="G33">
        <v>0.24</v>
      </c>
      <c r="H33">
        <v>-7.45</v>
      </c>
      <c r="I33">
        <v>0.02</v>
      </c>
      <c r="J33" s="5">
        <f>1858.196-1804.0966</f>
        <v>54.099399999999832</v>
      </c>
      <c r="K33">
        <v>2400</v>
      </c>
      <c r="L33" s="7">
        <f t="shared" si="5"/>
        <v>0.97795549764610179</v>
      </c>
      <c r="M33" s="7"/>
      <c r="N33">
        <v>-7.46</v>
      </c>
      <c r="O33" s="8">
        <f t="shared" si="0"/>
        <v>-7.559076323477365</v>
      </c>
      <c r="P33">
        <f t="shared" si="1"/>
        <v>1.9902412079999998E-3</v>
      </c>
      <c r="Q33" s="8">
        <f t="shared" si="2"/>
        <v>-46.055622132593129</v>
      </c>
      <c r="R33" s="8">
        <f t="shared" si="3"/>
        <v>4.4943778674068682</v>
      </c>
      <c r="S33" s="8">
        <f t="shared" si="4"/>
        <v>4.3839196934864127E-2</v>
      </c>
      <c r="T33" s="8">
        <f t="shared" si="6"/>
        <v>0.1255581999712593</v>
      </c>
      <c r="U33" s="8">
        <f t="shared" si="7"/>
        <v>684.98745210725201</v>
      </c>
      <c r="V33" s="8"/>
    </row>
    <row r="34" spans="1:28">
      <c r="A34" t="s">
        <v>47</v>
      </c>
      <c r="B34" t="s">
        <v>48</v>
      </c>
      <c r="C34" s="2">
        <v>45486.42224537037</v>
      </c>
      <c r="D34">
        <v>-41.68</v>
      </c>
      <c r="E34">
        <v>7.0000000000000007E-2</v>
      </c>
      <c r="F34">
        <v>-41.48</v>
      </c>
      <c r="G34">
        <v>0.28000000000000003</v>
      </c>
      <c r="H34">
        <v>-6.39</v>
      </c>
      <c r="I34">
        <v>0.03</v>
      </c>
      <c r="J34" s="5">
        <f>1942.906-1781.8958</f>
        <v>161.01019999999994</v>
      </c>
      <c r="K34">
        <v>2400</v>
      </c>
      <c r="L34" s="7">
        <f t="shared" si="5"/>
        <v>0.93713019963762745</v>
      </c>
      <c r="M34" s="7"/>
      <c r="N34">
        <v>-6.37</v>
      </c>
      <c r="O34" s="8">
        <f t="shared" si="0"/>
        <v>-9.353756423929898</v>
      </c>
      <c r="P34">
        <f t="shared" si="1"/>
        <v>1.9924268759999998E-3</v>
      </c>
      <c r="Q34" s="8">
        <f t="shared" si="2"/>
        <v>-3.0907046510096805</v>
      </c>
      <c r="R34" s="8">
        <f t="shared" si="3"/>
        <v>47.459295348990317</v>
      </c>
      <c r="S34" s="8">
        <f t="shared" si="4"/>
        <v>1.3777652713094428</v>
      </c>
      <c r="T34" s="8">
        <f t="shared" si="6"/>
        <v>3.9460058473597015</v>
      </c>
      <c r="U34" s="8">
        <f t="shared" si="7"/>
        <v>21527.582364210044</v>
      </c>
      <c r="V34" s="8"/>
      <c r="W34" t="s">
        <v>49</v>
      </c>
      <c r="X34" s="8">
        <f>MIN(R24:R48)</f>
        <v>9.0988681662381055E-2</v>
      </c>
    </row>
    <row r="35" spans="1:28">
      <c r="A35" t="s">
        <v>47</v>
      </c>
      <c r="B35" t="s">
        <v>48</v>
      </c>
      <c r="C35" s="2">
        <v>45490.857592592591</v>
      </c>
      <c r="D35">
        <v>-41.28</v>
      </c>
      <c r="E35">
        <v>0.12</v>
      </c>
      <c r="F35">
        <v>-41.48</v>
      </c>
      <c r="G35">
        <v>0.28000000000000003</v>
      </c>
      <c r="H35">
        <v>-6.36</v>
      </c>
      <c r="I35">
        <v>0.01</v>
      </c>
      <c r="J35" s="5">
        <f>1942.906-1781.8958</f>
        <v>161.01019999999994</v>
      </c>
      <c r="K35">
        <v>2400</v>
      </c>
      <c r="L35" s="7">
        <f t="shared" si="5"/>
        <v>0.93713019963762745</v>
      </c>
      <c r="M35" s="7"/>
      <c r="N35">
        <v>-6.37</v>
      </c>
      <c r="O35" s="8">
        <f t="shared" si="0"/>
        <v>-9.353756423929898</v>
      </c>
      <c r="P35">
        <f t="shared" si="1"/>
        <v>1.9924268759999998E-3</v>
      </c>
      <c r="Q35" s="8">
        <f t="shared" si="2"/>
        <v>-3.0907046510096805</v>
      </c>
      <c r="R35" s="8">
        <f t="shared" si="3"/>
        <v>47.459295348990317</v>
      </c>
      <c r="S35" s="8">
        <f t="shared" si="4"/>
        <v>1.3777652713094428</v>
      </c>
      <c r="T35" s="8">
        <f t="shared" si="6"/>
        <v>3.9460058473597015</v>
      </c>
      <c r="U35" s="8">
        <f t="shared" si="7"/>
        <v>21527.582364210044</v>
      </c>
      <c r="V35" s="8"/>
      <c r="W35" t="s">
        <v>50</v>
      </c>
      <c r="X35" s="8">
        <f>AVERAGE(R24:R48)</f>
        <v>24.787027706032788</v>
      </c>
    </row>
    <row r="36" spans="1:28">
      <c r="A36" t="s">
        <v>51</v>
      </c>
      <c r="B36" t="s">
        <v>52</v>
      </c>
      <c r="C36" s="2">
        <v>45486.472708333327</v>
      </c>
      <c r="D36">
        <v>-40.770000000000003</v>
      </c>
      <c r="E36">
        <v>0.05</v>
      </c>
      <c r="F36">
        <v>-40.57</v>
      </c>
      <c r="G36">
        <v>0.28999999999999998</v>
      </c>
      <c r="H36">
        <v>-6.74</v>
      </c>
      <c r="I36">
        <v>0.01</v>
      </c>
      <c r="J36" s="5">
        <f>1859.917-1779.875</f>
        <v>80.041999999999916</v>
      </c>
      <c r="K36" s="6">
        <f>(4.2054-1.835)*1000</f>
        <v>2370.4</v>
      </c>
      <c r="L36" s="7">
        <f t="shared" si="5"/>
        <v>0.96733568882675047</v>
      </c>
      <c r="M36" s="7"/>
      <c r="N36">
        <v>-6.72</v>
      </c>
      <c r="O36" s="8">
        <f t="shared" si="0"/>
        <v>-8.0259231191760492</v>
      </c>
      <c r="P36">
        <f t="shared" si="1"/>
        <v>1.991725056E-3</v>
      </c>
      <c r="Q36" s="8">
        <f t="shared" si="2"/>
        <v>-10.569878813622847</v>
      </c>
      <c r="R36" s="8">
        <f t="shared" si="3"/>
        <v>39.980121186377147</v>
      </c>
      <c r="S36" s="8">
        <f t="shared" si="4"/>
        <v>0.57698244038764857</v>
      </c>
      <c r="T36" s="8">
        <f t="shared" si="6"/>
        <v>1.6525137706727497</v>
      </c>
      <c r="U36" s="8">
        <f t="shared" si="7"/>
        <v>9015.3506310570083</v>
      </c>
      <c r="V36" s="8"/>
      <c r="W36" t="s">
        <v>53</v>
      </c>
      <c r="X36" s="8">
        <f>MAX(R24:R48)</f>
        <v>67.327027575730057</v>
      </c>
    </row>
    <row r="37" spans="1:28">
      <c r="A37" t="s">
        <v>51</v>
      </c>
      <c r="B37" t="s">
        <v>52</v>
      </c>
      <c r="C37" s="2">
        <v>45490.908090277779</v>
      </c>
      <c r="D37">
        <v>-40.369999999999997</v>
      </c>
      <c r="E37">
        <v>0.05</v>
      </c>
      <c r="F37">
        <v>-40.57</v>
      </c>
      <c r="G37">
        <v>0.28999999999999998</v>
      </c>
      <c r="H37">
        <v>-6.69</v>
      </c>
      <c r="I37">
        <v>0.02</v>
      </c>
      <c r="J37" s="5">
        <f>1859.917-1779.875</f>
        <v>80.041999999999916</v>
      </c>
      <c r="K37" s="6">
        <f>(4.2054-1.835)*1000</f>
        <v>2370.4</v>
      </c>
      <c r="L37" s="7">
        <f t="shared" si="5"/>
        <v>0.96733568882675047</v>
      </c>
      <c r="M37" s="7"/>
      <c r="N37">
        <v>-6.72</v>
      </c>
      <c r="O37" s="8">
        <f t="shared" si="0"/>
        <v>-8.0259231191760492</v>
      </c>
      <c r="P37">
        <f t="shared" si="1"/>
        <v>1.991725056E-3</v>
      </c>
      <c r="Q37" s="8">
        <f t="shared" si="2"/>
        <v>-10.569878813622847</v>
      </c>
      <c r="R37" s="8">
        <f t="shared" si="3"/>
        <v>39.980121186377147</v>
      </c>
      <c r="S37" s="8">
        <f t="shared" si="4"/>
        <v>0.57698244038764857</v>
      </c>
      <c r="T37" s="8">
        <f t="shared" si="6"/>
        <v>1.6525137706727497</v>
      </c>
      <c r="U37" s="8">
        <f t="shared" si="7"/>
        <v>9015.3506310570083</v>
      </c>
      <c r="V37" s="8"/>
    </row>
    <row r="38" spans="1:28">
      <c r="A38" t="s">
        <v>54</v>
      </c>
      <c r="B38" t="s">
        <v>55</v>
      </c>
      <c r="C38" s="2">
        <v>45486.5231712963</v>
      </c>
      <c r="D38">
        <v>-43.12</v>
      </c>
      <c r="E38">
        <v>0.14000000000000001</v>
      </c>
      <c r="F38">
        <v>-42.95</v>
      </c>
      <c r="G38">
        <v>0.24</v>
      </c>
      <c r="H38">
        <v>-7.77</v>
      </c>
      <c r="I38">
        <v>0.01</v>
      </c>
      <c r="J38" s="5">
        <f>1874.2572-1777.9436</f>
        <v>96.313599999999951</v>
      </c>
      <c r="K38">
        <v>2400</v>
      </c>
      <c r="L38" s="7">
        <f t="shared" si="5"/>
        <v>0.96141766803658002</v>
      </c>
      <c r="M38" s="7"/>
      <c r="N38">
        <v>-7.74</v>
      </c>
      <c r="O38" s="8">
        <f t="shared" si="0"/>
        <v>-8.2860793131119426</v>
      </c>
      <c r="P38">
        <f t="shared" si="1"/>
        <v>1.9896797519999999E-3</v>
      </c>
      <c r="Q38" s="8">
        <f t="shared" si="2"/>
        <v>-36.396389128845776</v>
      </c>
      <c r="R38" s="8">
        <f t="shared" si="3"/>
        <v>14.153610871154221</v>
      </c>
      <c r="S38" s="8">
        <f t="shared" si="4"/>
        <v>0.24578502880324526</v>
      </c>
      <c r="T38" s="8">
        <f t="shared" si="6"/>
        <v>0.70394368405679464</v>
      </c>
      <c r="U38" s="8">
        <f t="shared" si="7"/>
        <v>3840.3910750507071</v>
      </c>
      <c r="V38" s="8"/>
    </row>
    <row r="39" spans="1:28">
      <c r="A39" t="s">
        <v>54</v>
      </c>
      <c r="B39" t="s">
        <v>55</v>
      </c>
      <c r="C39" s="2">
        <v>45490.958599537043</v>
      </c>
      <c r="D39">
        <v>-42.78</v>
      </c>
      <c r="E39">
        <v>0.23</v>
      </c>
      <c r="F39">
        <v>-42.95</v>
      </c>
      <c r="G39">
        <v>0.24</v>
      </c>
      <c r="H39">
        <v>-7.72</v>
      </c>
      <c r="I39">
        <v>0.03</v>
      </c>
      <c r="J39" s="5">
        <f>1874.2572-1777.9436</f>
        <v>96.313599999999951</v>
      </c>
      <c r="K39">
        <v>2400</v>
      </c>
      <c r="L39" s="7">
        <f t="shared" si="5"/>
        <v>0.96141766803658002</v>
      </c>
      <c r="M39" s="7"/>
      <c r="N39">
        <v>-7.74</v>
      </c>
      <c r="O39" s="8">
        <f t="shared" si="0"/>
        <v>-8.2860793131119426</v>
      </c>
      <c r="P39">
        <f t="shared" si="1"/>
        <v>1.9896797519999999E-3</v>
      </c>
      <c r="Q39" s="8">
        <f t="shared" si="2"/>
        <v>-36.396389128845776</v>
      </c>
      <c r="R39" s="8">
        <f t="shared" si="3"/>
        <v>14.153610871154221</v>
      </c>
      <c r="S39" s="8">
        <f t="shared" si="4"/>
        <v>0.24578502880324526</v>
      </c>
      <c r="T39" s="8">
        <f t="shared" si="6"/>
        <v>0.70394368405679464</v>
      </c>
      <c r="U39" s="8">
        <f t="shared" si="7"/>
        <v>3840.3910750507071</v>
      </c>
      <c r="V39" s="8"/>
      <c r="X39" t="s">
        <v>56</v>
      </c>
      <c r="Y39" t="s">
        <v>57</v>
      </c>
      <c r="Z39" t="s">
        <v>58</v>
      </c>
      <c r="AA39" s="12" t="s">
        <v>59</v>
      </c>
      <c r="AB39" s="12" t="s">
        <v>60</v>
      </c>
    </row>
    <row r="40" spans="1:28">
      <c r="A40" t="s">
        <v>61</v>
      </c>
      <c r="B40" t="s">
        <v>62</v>
      </c>
      <c r="C40" s="2">
        <v>45486.57366898148</v>
      </c>
      <c r="D40">
        <v>-53.05</v>
      </c>
      <c r="E40">
        <v>0.09</v>
      </c>
      <c r="F40">
        <v>-52.87</v>
      </c>
      <c r="G40">
        <v>0.25</v>
      </c>
      <c r="H40">
        <v>-7.91</v>
      </c>
      <c r="I40">
        <v>0.02</v>
      </c>
      <c r="J40" s="5">
        <f>1901.4936-1785.9073</f>
        <v>115.58629999999994</v>
      </c>
      <c r="K40">
        <v>2400</v>
      </c>
      <c r="L40" s="7">
        <f t="shared" si="5"/>
        <v>0.95405194407363403</v>
      </c>
      <c r="M40" s="7"/>
      <c r="N40">
        <v>-7.89</v>
      </c>
      <c r="O40" s="8">
        <f t="shared" si="0"/>
        <v>-8.6098765385230482</v>
      </c>
      <c r="P40">
        <f t="shared" si="1"/>
        <v>1.989378972E-3</v>
      </c>
      <c r="Q40" s="8">
        <f t="shared" si="2"/>
        <v>-34.882818353040129</v>
      </c>
      <c r="R40" s="8">
        <f t="shared" si="3"/>
        <v>15.667181646959868</v>
      </c>
      <c r="S40" s="8">
        <f t="shared" si="4"/>
        <v>0.32651098634212239</v>
      </c>
      <c r="T40" s="8">
        <f t="shared" si="6"/>
        <v>0.93514787182048498</v>
      </c>
      <c r="U40" s="8">
        <f t="shared" si="7"/>
        <v>5101.734161595662</v>
      </c>
      <c r="V40" s="8"/>
      <c r="X40" s="13" t="s">
        <v>63</v>
      </c>
      <c r="Y40" s="13">
        <v>3</v>
      </c>
      <c r="Z40" s="14">
        <f>SQRT(Y40)</f>
        <v>1.7320508075688772</v>
      </c>
      <c r="AA40" s="8">
        <f>AVERAGE(R26:R27)</f>
        <v>23.355921852803601</v>
      </c>
      <c r="AB40">
        <v>15.29</v>
      </c>
    </row>
    <row r="41" spans="1:28">
      <c r="A41" t="s">
        <v>61</v>
      </c>
      <c r="B41" t="s">
        <v>62</v>
      </c>
      <c r="C41" s="2">
        <v>45491.009108796286</v>
      </c>
      <c r="D41">
        <v>-52.69</v>
      </c>
      <c r="E41">
        <v>0.08</v>
      </c>
      <c r="F41">
        <v>-52.87</v>
      </c>
      <c r="G41">
        <v>0.25</v>
      </c>
      <c r="H41">
        <v>-7.88</v>
      </c>
      <c r="I41">
        <v>0.02</v>
      </c>
      <c r="J41" s="5">
        <f>1901.4936-1785.9073</f>
        <v>115.58629999999994</v>
      </c>
      <c r="K41">
        <v>2400</v>
      </c>
      <c r="L41" s="7">
        <f t="shared" si="5"/>
        <v>0.95405194407363403</v>
      </c>
      <c r="M41" s="7"/>
      <c r="N41">
        <v>-7.89</v>
      </c>
      <c r="O41" s="8">
        <f t="shared" si="0"/>
        <v>-8.6098765385230482</v>
      </c>
      <c r="P41">
        <f t="shared" si="1"/>
        <v>1.989378972E-3</v>
      </c>
      <c r="Q41" s="8">
        <f t="shared" si="2"/>
        <v>-34.882818353040129</v>
      </c>
      <c r="R41" s="8">
        <f t="shared" si="3"/>
        <v>15.667181646959868</v>
      </c>
      <c r="S41" s="8">
        <f t="shared" si="4"/>
        <v>0.32651098634212239</v>
      </c>
      <c r="T41" s="8">
        <f t="shared" si="6"/>
        <v>0.93514787182048498</v>
      </c>
      <c r="U41" s="8">
        <f t="shared" si="7"/>
        <v>5101.734161595662</v>
      </c>
      <c r="V41" s="8"/>
      <c r="X41" s="13" t="s">
        <v>64</v>
      </c>
      <c r="Y41" s="13">
        <v>19</v>
      </c>
      <c r="Z41" s="14">
        <f t="shared" ref="Z41:Z42" si="8">SQRT(Y41)</f>
        <v>4.358898943540674</v>
      </c>
      <c r="AA41" s="8">
        <f>AVERAGE(R28:R29)</f>
        <v>67.327027575730057</v>
      </c>
      <c r="AB41">
        <v>18.47</v>
      </c>
    </row>
    <row r="42" spans="1:28">
      <c r="A42" t="s">
        <v>65</v>
      </c>
      <c r="B42" t="s">
        <v>66</v>
      </c>
      <c r="C42" s="2">
        <v>45486.624120370368</v>
      </c>
      <c r="D42">
        <v>-49.39</v>
      </c>
      <c r="E42">
        <v>0.06</v>
      </c>
      <c r="F42">
        <v>-49.26</v>
      </c>
      <c r="G42">
        <v>0.18</v>
      </c>
      <c r="H42">
        <v>-8.07</v>
      </c>
      <c r="I42">
        <v>0.03</v>
      </c>
      <c r="J42" s="5">
        <f>1891.0933-1797.5914</f>
        <v>93.501899999999978</v>
      </c>
      <c r="K42">
        <v>2400</v>
      </c>
      <c r="L42" s="7">
        <f t="shared" si="5"/>
        <v>0.96250177310873508</v>
      </c>
      <c r="M42" s="7"/>
      <c r="N42">
        <v>-8.0500000000000007</v>
      </c>
      <c r="O42" s="8">
        <f t="shared" si="0"/>
        <v>-8.2384220541400062</v>
      </c>
      <c r="P42">
        <f t="shared" si="1"/>
        <v>1.98905814E-3</v>
      </c>
      <c r="Q42" s="8">
        <f t="shared" si="2"/>
        <v>-45.525174301270937</v>
      </c>
      <c r="R42" s="8">
        <f t="shared" si="3"/>
        <v>5.0248256987290603</v>
      </c>
      <c r="S42" s="8">
        <f t="shared" si="4"/>
        <v>8.4711426639620294E-2</v>
      </c>
      <c r="T42" s="8">
        <f t="shared" si="6"/>
        <v>0.24261882036003751</v>
      </c>
      <c r="U42" s="8">
        <f t="shared" si="7"/>
        <v>1323.616041244067</v>
      </c>
      <c r="V42" s="8"/>
      <c r="X42" s="13" t="s">
        <v>67</v>
      </c>
      <c r="Y42" s="13">
        <v>7</v>
      </c>
      <c r="Z42" s="14">
        <f t="shared" si="8"/>
        <v>2.6457513110645907</v>
      </c>
      <c r="AA42" s="8">
        <f>AVERAGE(R44:R45)</f>
        <v>55.839943118674036</v>
      </c>
      <c r="AB42">
        <v>17.8</v>
      </c>
    </row>
    <row r="43" spans="1:28">
      <c r="A43" t="s">
        <v>65</v>
      </c>
      <c r="B43" t="s">
        <v>66</v>
      </c>
      <c r="C43" s="2">
        <v>45491.059594907398</v>
      </c>
      <c r="D43">
        <v>-49.14</v>
      </c>
      <c r="E43">
        <v>0.1</v>
      </c>
      <c r="F43">
        <v>-49.26</v>
      </c>
      <c r="G43">
        <v>0.18</v>
      </c>
      <c r="H43">
        <v>-8.0399999999999991</v>
      </c>
      <c r="I43">
        <v>0.01</v>
      </c>
      <c r="J43" s="5">
        <f>1891.0933-1797.5914</f>
        <v>93.501899999999978</v>
      </c>
      <c r="K43">
        <v>2400</v>
      </c>
      <c r="L43" s="7">
        <f t="shared" si="5"/>
        <v>0.96250177310873508</v>
      </c>
      <c r="M43" s="7"/>
      <c r="N43">
        <v>-8.0500000000000007</v>
      </c>
      <c r="O43" s="8">
        <f t="shared" si="0"/>
        <v>-8.2384220541400062</v>
      </c>
      <c r="P43">
        <f t="shared" si="1"/>
        <v>1.98905814E-3</v>
      </c>
      <c r="Q43" s="8">
        <f t="shared" si="2"/>
        <v>-45.525174301270937</v>
      </c>
      <c r="R43" s="8">
        <f t="shared" si="3"/>
        <v>5.0248256987290603</v>
      </c>
      <c r="S43" s="8">
        <f t="shared" si="4"/>
        <v>8.4711426639620294E-2</v>
      </c>
      <c r="T43" s="8">
        <f t="shared" si="6"/>
        <v>0.24261882036003751</v>
      </c>
      <c r="U43" s="8">
        <f t="shared" si="7"/>
        <v>1323.616041244067</v>
      </c>
      <c r="V43" s="8"/>
    </row>
    <row r="44" spans="1:28">
      <c r="A44" t="s">
        <v>68</v>
      </c>
      <c r="B44" t="s">
        <v>69</v>
      </c>
      <c r="C44" s="2">
        <v>45486.725011574083</v>
      </c>
      <c r="D44">
        <v>-40.47</v>
      </c>
      <c r="E44">
        <v>0.91</v>
      </c>
      <c r="F44">
        <v>-40.29</v>
      </c>
      <c r="G44">
        <v>0.25</v>
      </c>
      <c r="H44">
        <v>-6.45</v>
      </c>
      <c r="I44">
        <v>7.0000000000000007E-2</v>
      </c>
      <c r="J44" s="5">
        <f>1830.5512-1797.078</f>
        <v>33.473200000000134</v>
      </c>
      <c r="K44" s="6">
        <f>(4.2967-1.8448)*1000</f>
        <v>2451.9</v>
      </c>
      <c r="L44" s="7">
        <f t="shared" si="5"/>
        <v>0.98653192204695861</v>
      </c>
      <c r="M44" s="7"/>
      <c r="N44">
        <v>-6.43</v>
      </c>
      <c r="O44" s="8">
        <f t="shared" si="0"/>
        <v>-7.1820567068156995</v>
      </c>
      <c r="P44">
        <f t="shared" si="1"/>
        <v>1.992306564E-3</v>
      </c>
      <c r="Q44" s="8">
        <f t="shared" si="2"/>
        <v>5.289943118674036</v>
      </c>
      <c r="R44" s="8">
        <f t="shared" si="3"/>
        <v>55.839943118674036</v>
      </c>
      <c r="S44" s="8">
        <f t="shared" si="4"/>
        <v>0.33700997683119349</v>
      </c>
      <c r="T44" s="8">
        <f t="shared" si="6"/>
        <v>0.96521763676809014</v>
      </c>
      <c r="U44" s="8">
        <f t="shared" si="7"/>
        <v>5265.7808879873983</v>
      </c>
      <c r="V44" s="8"/>
    </row>
    <row r="45" spans="1:28">
      <c r="A45" t="s">
        <v>68</v>
      </c>
      <c r="B45" t="s">
        <v>69</v>
      </c>
      <c r="C45" s="2">
        <v>45491.160543981481</v>
      </c>
      <c r="D45">
        <v>-40.11</v>
      </c>
      <c r="E45">
        <v>0.76</v>
      </c>
      <c r="F45">
        <v>-40.29</v>
      </c>
      <c r="G45">
        <v>0.25</v>
      </c>
      <c r="H45">
        <v>-6.42</v>
      </c>
      <c r="I45">
        <v>0.03</v>
      </c>
      <c r="J45" s="5">
        <f>1830.5512-1797.078</f>
        <v>33.473200000000134</v>
      </c>
      <c r="K45" s="6">
        <f>(4.2967-1.8448)*1000</f>
        <v>2451.9</v>
      </c>
      <c r="L45" s="7">
        <f t="shared" si="5"/>
        <v>0.98653192204695861</v>
      </c>
      <c r="M45" s="7"/>
      <c r="N45">
        <v>-6.43</v>
      </c>
      <c r="O45" s="8">
        <f t="shared" si="0"/>
        <v>-7.1820567068156995</v>
      </c>
      <c r="P45">
        <f t="shared" si="1"/>
        <v>1.992306564E-3</v>
      </c>
      <c r="Q45" s="8">
        <f t="shared" si="2"/>
        <v>5.289943118674036</v>
      </c>
      <c r="R45" s="8">
        <f t="shared" si="3"/>
        <v>55.839943118674036</v>
      </c>
      <c r="S45" s="8">
        <f t="shared" si="4"/>
        <v>0.33700997683119349</v>
      </c>
      <c r="T45" s="8">
        <f t="shared" si="6"/>
        <v>0.96521763676809014</v>
      </c>
      <c r="U45" s="8">
        <f t="shared" si="7"/>
        <v>5265.7808879873983</v>
      </c>
      <c r="V45" s="8"/>
    </row>
    <row r="46" spans="1:28">
      <c r="A46" t="s">
        <v>70</v>
      </c>
      <c r="B46" t="s">
        <v>71</v>
      </c>
      <c r="C46" s="2">
        <v>45319.268564814818</v>
      </c>
      <c r="D46">
        <v>-54.1</v>
      </c>
      <c r="E46">
        <v>0.01</v>
      </c>
      <c r="F46">
        <v>-54.13</v>
      </c>
      <c r="G46">
        <v>0.04</v>
      </c>
      <c r="H46">
        <v>-7.92</v>
      </c>
      <c r="I46">
        <v>0.01</v>
      </c>
      <c r="J46">
        <v>105.3</v>
      </c>
      <c r="K46">
        <v>2323.4</v>
      </c>
      <c r="L46" s="7">
        <f>K48/(K48+J48)</f>
        <v>0.96809581669848976</v>
      </c>
      <c r="M46" s="7"/>
      <c r="N46">
        <v>-7.91</v>
      </c>
      <c r="O46" s="8">
        <f>L46*ENT+(1-L46)*-5.81</f>
        <v>-6.565114737024822</v>
      </c>
      <c r="P46">
        <f t="shared" si="1"/>
        <v>1.9893388679999998E-3</v>
      </c>
      <c r="Q46" s="8">
        <f t="shared" si="2"/>
        <v>-37.035242165242195</v>
      </c>
      <c r="R46" s="8">
        <f t="shared" si="3"/>
        <v>13.514757834757802</v>
      </c>
      <c r="S46" s="8">
        <f t="shared" si="4"/>
        <v>0.25658850574712588</v>
      </c>
      <c r="T46" s="8">
        <f t="shared" si="6"/>
        <v>0.73488551724137774</v>
      </c>
      <c r="U46" s="8">
        <f t="shared" si="7"/>
        <v>4009.1954022988416</v>
      </c>
      <c r="V46" s="8"/>
    </row>
    <row r="47" spans="1:28">
      <c r="A47" t="s">
        <v>70</v>
      </c>
      <c r="B47" t="s">
        <v>71</v>
      </c>
      <c r="C47" s="2">
        <v>45320.983310185176</v>
      </c>
      <c r="D47">
        <v>-54.15</v>
      </c>
      <c r="E47">
        <v>7.0000000000000007E-2</v>
      </c>
      <c r="F47">
        <v>-54.13</v>
      </c>
      <c r="G47">
        <v>0.04</v>
      </c>
      <c r="H47">
        <v>-7.9</v>
      </c>
      <c r="I47">
        <v>0.01</v>
      </c>
      <c r="J47">
        <v>105.3</v>
      </c>
      <c r="K47">
        <v>2323.4</v>
      </c>
      <c r="L47" s="7">
        <f>K49/(K49+J49)</f>
        <v>0.96809581669848976</v>
      </c>
      <c r="M47" s="7"/>
      <c r="N47">
        <v>-7.91</v>
      </c>
      <c r="O47" s="8">
        <f>L47*ENT+(1-L47)*-5.81</f>
        <v>-6.565114737024822</v>
      </c>
      <c r="P47">
        <f t="shared" si="1"/>
        <v>1.9893388679999998E-3</v>
      </c>
      <c r="Q47" s="8">
        <f t="shared" si="2"/>
        <v>-37.035242165242195</v>
      </c>
      <c r="R47" s="8">
        <f t="shared" si="3"/>
        <v>13.514757834757802</v>
      </c>
      <c r="S47" s="8">
        <f t="shared" si="4"/>
        <v>0.25658850574712588</v>
      </c>
      <c r="T47" s="8">
        <f t="shared" si="6"/>
        <v>0.73488551724137774</v>
      </c>
      <c r="U47" s="8">
        <f t="shared" si="7"/>
        <v>4009.1954022988416</v>
      </c>
      <c r="V47" s="8"/>
    </row>
    <row r="48" spans="1:28">
      <c r="A48" t="s">
        <v>72</v>
      </c>
      <c r="B48" t="s">
        <v>73</v>
      </c>
      <c r="C48" s="2">
        <v>45319.369305555563</v>
      </c>
      <c r="D48">
        <v>-52.07</v>
      </c>
      <c r="E48">
        <v>0.17</v>
      </c>
      <c r="F48">
        <v>-52.22</v>
      </c>
      <c r="G48">
        <v>0.22</v>
      </c>
      <c r="H48">
        <v>-7.63</v>
      </c>
      <c r="I48">
        <v>0.01</v>
      </c>
      <c r="J48">
        <v>91.9</v>
      </c>
      <c r="K48">
        <v>2788.6</v>
      </c>
      <c r="L48" s="7">
        <f t="shared" ref="L48:L49" si="9">K50/(K50+J50)</f>
        <v>0.66800000000000004</v>
      </c>
      <c r="M48" s="7"/>
      <c r="N48">
        <v>-7.63</v>
      </c>
      <c r="O48" s="8">
        <f>L48*ENT+(1-L48)*-5.72</f>
        <v>-6.3011599999999994</v>
      </c>
      <c r="P48">
        <f t="shared" si="1"/>
        <v>1.9899003239999997E-3</v>
      </c>
      <c r="Q48" s="8">
        <f t="shared" si="2"/>
        <v>-39.18760609357998</v>
      </c>
      <c r="R48" s="8">
        <f t="shared" si="3"/>
        <v>11.362393906420017</v>
      </c>
      <c r="S48" s="8">
        <f t="shared" si="4"/>
        <v>0.18827207572684246</v>
      </c>
      <c r="T48" s="8">
        <f t="shared" si="6"/>
        <v>0.53922299188640976</v>
      </c>
      <c r="U48" s="8">
        <f t="shared" si="7"/>
        <v>2941.7511832319137</v>
      </c>
      <c r="V48" s="8"/>
    </row>
    <row r="49" spans="1:16">
      <c r="A49" t="s">
        <v>72</v>
      </c>
      <c r="B49" t="s">
        <v>73</v>
      </c>
      <c r="C49" s="2">
        <v>45321.084097222221</v>
      </c>
      <c r="D49">
        <v>-52.38</v>
      </c>
      <c r="E49">
        <v>0.12</v>
      </c>
      <c r="F49">
        <v>-52.22</v>
      </c>
      <c r="G49">
        <v>0.22</v>
      </c>
      <c r="H49">
        <v>-7.63</v>
      </c>
      <c r="I49">
        <v>0.02</v>
      </c>
      <c r="J49">
        <v>91.9</v>
      </c>
      <c r="K49">
        <v>2788.6</v>
      </c>
      <c r="L49" s="7">
        <f t="shared" si="9"/>
        <v>0.66800000000000004</v>
      </c>
      <c r="M49" s="7"/>
      <c r="N49">
        <v>-7.63</v>
      </c>
      <c r="O49" s="8">
        <f>L49*ENT+(1-L49)*-5.72</f>
        <v>-6.3011599999999994</v>
      </c>
      <c r="P49">
        <f t="shared" si="1"/>
        <v>1.9899003239999997E-3</v>
      </c>
    </row>
    <row r="50" spans="1:16">
      <c r="A50" t="s">
        <v>74</v>
      </c>
      <c r="B50" t="s">
        <v>75</v>
      </c>
      <c r="C50" s="2">
        <v>45318.865381944437</v>
      </c>
      <c r="D50">
        <v>-216.36</v>
      </c>
      <c r="E50">
        <v>0.22</v>
      </c>
      <c r="F50">
        <v>-216.43</v>
      </c>
      <c r="G50">
        <v>0.1</v>
      </c>
      <c r="H50">
        <v>-28.2</v>
      </c>
      <c r="I50">
        <v>0.02</v>
      </c>
      <c r="J50">
        <v>830</v>
      </c>
      <c r="K50">
        <v>1670</v>
      </c>
      <c r="L50" s="7">
        <f t="shared" si="5"/>
        <v>0.66800000000000004</v>
      </c>
      <c r="M50" s="7"/>
      <c r="N50">
        <v>-28.2</v>
      </c>
      <c r="O50" s="8">
        <f t="shared" ref="O50:O59" si="10">L50*ENT+(1-L50)*USGS49</f>
        <v>-21.184719999999999</v>
      </c>
      <c r="P50">
        <f t="shared" si="1"/>
        <v>1.9486533599999999E-3</v>
      </c>
    </row>
    <row r="51" spans="1:16">
      <c r="A51" t="s">
        <v>74</v>
      </c>
      <c r="B51" t="s">
        <v>75</v>
      </c>
      <c r="C51" s="2">
        <v>45320.579872685194</v>
      </c>
      <c r="D51">
        <v>-216.5</v>
      </c>
      <c r="E51">
        <v>0.13</v>
      </c>
      <c r="F51">
        <v>-216.43</v>
      </c>
      <c r="G51">
        <v>0.1</v>
      </c>
      <c r="H51">
        <v>-28.21</v>
      </c>
      <c r="I51">
        <v>0.02</v>
      </c>
      <c r="J51">
        <v>830</v>
      </c>
      <c r="K51">
        <v>1670</v>
      </c>
      <c r="L51" s="7">
        <f t="shared" si="5"/>
        <v>0.66800000000000004</v>
      </c>
      <c r="M51" s="7"/>
      <c r="N51">
        <v>-28.2</v>
      </c>
      <c r="O51" s="8">
        <f t="shared" si="10"/>
        <v>-21.184719999999999</v>
      </c>
      <c r="P51">
        <f t="shared" si="1"/>
        <v>1.9486533599999999E-3</v>
      </c>
    </row>
    <row r="52" spans="1:16">
      <c r="A52" t="s">
        <v>76</v>
      </c>
      <c r="B52" t="s">
        <v>77</v>
      </c>
      <c r="C52" s="2">
        <v>45318.91578703704</v>
      </c>
      <c r="D52">
        <v>-157.18</v>
      </c>
      <c r="E52">
        <v>0.17</v>
      </c>
      <c r="F52">
        <v>-157.24</v>
      </c>
      <c r="G52">
        <v>0.09</v>
      </c>
      <c r="H52">
        <v>-20.84</v>
      </c>
      <c r="I52">
        <v>0.01</v>
      </c>
      <c r="J52">
        <v>630</v>
      </c>
      <c r="K52">
        <v>1880</v>
      </c>
      <c r="L52" s="7">
        <f t="shared" si="5"/>
        <v>0.74900398406374502</v>
      </c>
      <c r="M52" s="7"/>
      <c r="N52">
        <v>-20.84</v>
      </c>
      <c r="O52" s="8">
        <f t="shared" si="10"/>
        <v>-17.62378486055777</v>
      </c>
      <c r="P52">
        <f t="shared" si="1"/>
        <v>1.9634116320000001E-3</v>
      </c>
    </row>
    <row r="53" spans="1:16">
      <c r="A53" t="s">
        <v>76</v>
      </c>
      <c r="B53" t="s">
        <v>77</v>
      </c>
      <c r="C53" s="2">
        <v>45320.630300925928</v>
      </c>
      <c r="D53">
        <v>-157.31</v>
      </c>
      <c r="E53">
        <v>0.22</v>
      </c>
      <c r="F53">
        <v>-157.24</v>
      </c>
      <c r="G53">
        <v>0.09</v>
      </c>
      <c r="H53">
        <v>-20.83</v>
      </c>
      <c r="I53">
        <v>0.02</v>
      </c>
      <c r="J53">
        <v>630</v>
      </c>
      <c r="K53">
        <v>1880</v>
      </c>
      <c r="L53" s="7">
        <f t="shared" si="5"/>
        <v>0.74900398406374502</v>
      </c>
      <c r="M53" s="7"/>
      <c r="N53">
        <v>-20.84</v>
      </c>
      <c r="O53" s="8">
        <f t="shared" si="10"/>
        <v>-17.62378486055777</v>
      </c>
      <c r="P53">
        <f t="shared" si="1"/>
        <v>1.9634116320000001E-3</v>
      </c>
    </row>
    <row r="54" spans="1:16">
      <c r="A54" t="s">
        <v>78</v>
      </c>
      <c r="B54" t="s">
        <v>79</v>
      </c>
      <c r="C54" s="2">
        <v>45318.966180555559</v>
      </c>
      <c r="D54">
        <v>-128.28</v>
      </c>
      <c r="E54">
        <v>0.14000000000000001</v>
      </c>
      <c r="F54">
        <v>-128.33000000000001</v>
      </c>
      <c r="G54">
        <v>0.06</v>
      </c>
      <c r="H54">
        <v>-17.309999999999999</v>
      </c>
      <c r="I54">
        <v>0.02</v>
      </c>
      <c r="J54">
        <v>50</v>
      </c>
      <c r="K54">
        <v>2000</v>
      </c>
      <c r="L54" s="7">
        <f t="shared" si="5"/>
        <v>0.97560975609756095</v>
      </c>
      <c r="M54" s="7"/>
      <c r="N54">
        <v>-17.3</v>
      </c>
      <c r="O54" s="8">
        <f t="shared" si="10"/>
        <v>-7.6621951219512203</v>
      </c>
      <c r="P54">
        <f t="shared" si="1"/>
        <v>1.9705100399999998E-3</v>
      </c>
    </row>
    <row r="55" spans="1:16">
      <c r="A55" t="s">
        <v>78</v>
      </c>
      <c r="B55" t="s">
        <v>79</v>
      </c>
      <c r="C55" s="2">
        <v>45320.68072916667</v>
      </c>
      <c r="D55">
        <v>-128.37</v>
      </c>
      <c r="E55">
        <v>0.12</v>
      </c>
      <c r="F55">
        <v>-128.33000000000001</v>
      </c>
      <c r="G55">
        <v>0.06</v>
      </c>
      <c r="H55">
        <v>-17.3</v>
      </c>
      <c r="I55">
        <v>0.01</v>
      </c>
      <c r="J55">
        <v>50</v>
      </c>
      <c r="K55">
        <v>2000</v>
      </c>
      <c r="L55" s="7">
        <f t="shared" si="5"/>
        <v>0.97560975609756095</v>
      </c>
      <c r="M55" s="7"/>
      <c r="N55">
        <v>-17.3</v>
      </c>
      <c r="O55" s="8">
        <f t="shared" si="10"/>
        <v>-7.6621951219512203</v>
      </c>
      <c r="P55">
        <f t="shared" si="1"/>
        <v>1.9705100399999998E-3</v>
      </c>
    </row>
    <row r="56" spans="1:16">
      <c r="A56" t="s">
        <v>80</v>
      </c>
      <c r="B56" t="s">
        <v>81</v>
      </c>
      <c r="C56" s="2">
        <v>45319.016585648147</v>
      </c>
      <c r="D56">
        <v>-132.01</v>
      </c>
      <c r="E56">
        <v>0.09</v>
      </c>
      <c r="F56">
        <v>-132</v>
      </c>
      <c r="G56">
        <v>0.02</v>
      </c>
      <c r="H56">
        <v>-17.75</v>
      </c>
      <c r="I56">
        <v>0.02</v>
      </c>
      <c r="J56">
        <v>50</v>
      </c>
      <c r="K56">
        <v>2000</v>
      </c>
      <c r="L56" s="7">
        <f t="shared" si="5"/>
        <v>0.97560975609756095</v>
      </c>
      <c r="M56" s="7"/>
      <c r="N56">
        <v>-17.739999999999998</v>
      </c>
      <c r="O56" s="8">
        <f t="shared" si="10"/>
        <v>-7.6621951219512203</v>
      </c>
      <c r="P56">
        <f t="shared" si="1"/>
        <v>1.9696277519999999E-3</v>
      </c>
    </row>
    <row r="57" spans="1:16">
      <c r="A57" t="s">
        <v>80</v>
      </c>
      <c r="B57" t="s">
        <v>81</v>
      </c>
      <c r="C57" s="2">
        <v>45320.731168981481</v>
      </c>
      <c r="D57">
        <v>-131.99</v>
      </c>
      <c r="E57">
        <v>0.11</v>
      </c>
      <c r="F57">
        <v>-132</v>
      </c>
      <c r="G57">
        <v>0.02</v>
      </c>
      <c r="H57">
        <v>-17.73</v>
      </c>
      <c r="I57">
        <v>0.01</v>
      </c>
      <c r="J57">
        <v>50</v>
      </c>
      <c r="K57">
        <v>2000</v>
      </c>
      <c r="L57" s="7">
        <f t="shared" si="5"/>
        <v>0.97560975609756095</v>
      </c>
      <c r="M57" s="7"/>
      <c r="N57">
        <v>-17.739999999999998</v>
      </c>
      <c r="O57" s="8">
        <f t="shared" si="10"/>
        <v>-7.6621951219512203</v>
      </c>
      <c r="P57">
        <f t="shared" si="1"/>
        <v>1.9696277519999999E-3</v>
      </c>
    </row>
    <row r="58" spans="1:16">
      <c r="A58" t="s">
        <v>82</v>
      </c>
      <c r="B58" t="s">
        <v>83</v>
      </c>
      <c r="C58" s="2">
        <v>45319.066990740743</v>
      </c>
      <c r="D58">
        <v>-112.11</v>
      </c>
      <c r="E58">
        <v>0.04</v>
      </c>
      <c r="F58">
        <v>-112.21</v>
      </c>
      <c r="G58">
        <v>0.13</v>
      </c>
      <c r="H58">
        <v>-15.3</v>
      </c>
      <c r="I58">
        <v>0.01</v>
      </c>
      <c r="J58">
        <v>1250</v>
      </c>
      <c r="K58">
        <v>1250</v>
      </c>
      <c r="L58" s="7">
        <f t="shared" si="5"/>
        <v>0.5</v>
      </c>
      <c r="M58" s="7"/>
      <c r="N58">
        <v>-15.29</v>
      </c>
      <c r="O58" s="8">
        <f t="shared" si="10"/>
        <v>-28.57</v>
      </c>
      <c r="P58">
        <f t="shared" si="1"/>
        <v>1.9745404920000001E-3</v>
      </c>
    </row>
    <row r="59" spans="1:16">
      <c r="A59" t="s">
        <v>82</v>
      </c>
      <c r="B59" t="s">
        <v>83</v>
      </c>
      <c r="C59" s="2">
        <v>45320.781608796293</v>
      </c>
      <c r="D59">
        <v>-112.3</v>
      </c>
      <c r="E59">
        <v>0.32</v>
      </c>
      <c r="F59">
        <v>-112.21</v>
      </c>
      <c r="G59">
        <v>0.13</v>
      </c>
      <c r="H59">
        <v>-15.28</v>
      </c>
      <c r="I59">
        <v>0.03</v>
      </c>
      <c r="J59">
        <v>1250</v>
      </c>
      <c r="K59">
        <v>1250</v>
      </c>
      <c r="L59" s="7">
        <f t="shared" si="5"/>
        <v>0.5</v>
      </c>
      <c r="M59" s="7"/>
      <c r="N59">
        <v>-15.29</v>
      </c>
      <c r="O59" s="8">
        <f t="shared" si="10"/>
        <v>-28.57</v>
      </c>
      <c r="P59">
        <f t="shared" si="1"/>
        <v>1.9745404920000001E-3</v>
      </c>
    </row>
    <row r="60" spans="1:16">
      <c r="A60" t="s">
        <v>84</v>
      </c>
      <c r="B60" t="s">
        <v>85</v>
      </c>
      <c r="C60" s="2">
        <v>45486.674571759257</v>
      </c>
      <c r="D60">
        <v>-390.63</v>
      </c>
      <c r="E60">
        <v>0.83</v>
      </c>
      <c r="F60">
        <v>-390.38</v>
      </c>
      <c r="G60">
        <v>0.36</v>
      </c>
      <c r="H60">
        <v>-49.6</v>
      </c>
      <c r="I60">
        <v>0.05</v>
      </c>
      <c r="L60" s="7"/>
      <c r="M60" s="7"/>
      <c r="N60">
        <v>-49.58</v>
      </c>
    </row>
    <row r="61" spans="1:16">
      <c r="A61" t="s">
        <v>84</v>
      </c>
      <c r="B61" t="s">
        <v>85</v>
      </c>
      <c r="C61" s="2">
        <v>45491.110069444447</v>
      </c>
      <c r="D61">
        <v>-390.13</v>
      </c>
      <c r="E61">
        <v>0.96</v>
      </c>
      <c r="F61">
        <v>-390.38</v>
      </c>
      <c r="G61">
        <v>0.36</v>
      </c>
      <c r="H61">
        <v>-49.57</v>
      </c>
      <c r="I61">
        <v>7.0000000000000007E-2</v>
      </c>
      <c r="L61" s="7"/>
      <c r="M61" s="7"/>
      <c r="N61">
        <v>-49.58</v>
      </c>
    </row>
    <row r="62" spans="1:16">
      <c r="A62" t="s">
        <v>86</v>
      </c>
      <c r="B62" t="s">
        <v>87</v>
      </c>
      <c r="C62" s="2">
        <v>45319.419675925928</v>
      </c>
      <c r="D62">
        <v>-40.54</v>
      </c>
      <c r="E62">
        <v>0.06</v>
      </c>
      <c r="F62">
        <v>-40.6</v>
      </c>
      <c r="G62">
        <v>0.08</v>
      </c>
      <c r="H62">
        <v>-6.59</v>
      </c>
      <c r="I62">
        <v>0.03</v>
      </c>
      <c r="L62" s="7"/>
      <c r="M62" s="7"/>
      <c r="N62">
        <v>-6.59</v>
      </c>
    </row>
    <row r="63" spans="1:16">
      <c r="A63" t="s">
        <v>86</v>
      </c>
      <c r="B63" t="s">
        <v>87</v>
      </c>
      <c r="C63" s="2">
        <v>45321.134502314817</v>
      </c>
      <c r="D63">
        <v>-40.65</v>
      </c>
      <c r="E63">
        <v>0.22</v>
      </c>
      <c r="F63">
        <v>-40.6</v>
      </c>
      <c r="G63">
        <v>0.08</v>
      </c>
      <c r="H63">
        <v>-6.59</v>
      </c>
      <c r="I63">
        <v>0.03</v>
      </c>
      <c r="L63" s="7"/>
      <c r="M63" s="7"/>
      <c r="N63">
        <v>-6.59</v>
      </c>
    </row>
    <row r="64" spans="1:16">
      <c r="A64" t="s">
        <v>88</v>
      </c>
      <c r="B64" t="s">
        <v>89</v>
      </c>
      <c r="C64" s="2">
        <v>45319.218194444453</v>
      </c>
      <c r="D64">
        <v>-39.15</v>
      </c>
      <c r="E64">
        <v>0.05</v>
      </c>
      <c r="F64">
        <v>-39.18</v>
      </c>
      <c r="G64">
        <v>0.05</v>
      </c>
      <c r="H64">
        <v>-5.8</v>
      </c>
      <c r="I64">
        <v>0.01</v>
      </c>
      <c r="L64" s="7"/>
      <c r="M64" s="7"/>
      <c r="N64">
        <v>-5.81</v>
      </c>
      <c r="O64" s="8"/>
    </row>
    <row r="65" spans="1:21">
      <c r="A65" t="s">
        <v>88</v>
      </c>
      <c r="B65" t="s">
        <v>89</v>
      </c>
      <c r="C65" s="2">
        <v>45320.932905092603</v>
      </c>
      <c r="D65">
        <v>-39.21</v>
      </c>
      <c r="E65">
        <v>0.19</v>
      </c>
      <c r="F65">
        <v>-39.18</v>
      </c>
      <c r="G65">
        <v>0.05</v>
      </c>
      <c r="H65">
        <v>-5.83</v>
      </c>
      <c r="I65">
        <v>0.04</v>
      </c>
      <c r="L65" s="7"/>
      <c r="M65" s="7"/>
      <c r="N65">
        <v>-5.81</v>
      </c>
      <c r="O65" s="8"/>
    </row>
    <row r="66" spans="1:21">
      <c r="A66" t="s">
        <v>90</v>
      </c>
      <c r="B66" t="s">
        <v>91</v>
      </c>
      <c r="C66" s="2">
        <v>45319.318935185183</v>
      </c>
      <c r="D66">
        <v>-38.799999999999997</v>
      </c>
      <c r="E66">
        <v>0.09</v>
      </c>
      <c r="F66">
        <v>-38.840000000000003</v>
      </c>
      <c r="G66">
        <v>0.06</v>
      </c>
      <c r="H66">
        <v>-5.73</v>
      </c>
      <c r="I66">
        <v>0.03</v>
      </c>
      <c r="L66" s="7"/>
      <c r="M66" s="7"/>
      <c r="N66">
        <v>-5.72</v>
      </c>
      <c r="O66" s="8"/>
    </row>
    <row r="67" spans="1:21">
      <c r="A67" t="s">
        <v>90</v>
      </c>
      <c r="B67" t="s">
        <v>91</v>
      </c>
      <c r="C67" s="2">
        <v>45321.033715277779</v>
      </c>
      <c r="D67">
        <v>-38.880000000000003</v>
      </c>
      <c r="E67">
        <v>0.26</v>
      </c>
      <c r="F67">
        <v>-38.840000000000003</v>
      </c>
      <c r="G67">
        <v>0.06</v>
      </c>
      <c r="H67">
        <v>-5.72</v>
      </c>
      <c r="I67">
        <v>0.03</v>
      </c>
      <c r="L67" s="7"/>
      <c r="M67" s="7"/>
      <c r="N67">
        <v>-5.72</v>
      </c>
      <c r="O67" s="8"/>
    </row>
    <row r="68" spans="1:21">
      <c r="A68" t="s">
        <v>92</v>
      </c>
      <c r="B68" t="s">
        <v>93</v>
      </c>
      <c r="C68" s="2">
        <v>45806.077870370369</v>
      </c>
      <c r="D68">
        <v>-36.590000000000003</v>
      </c>
      <c r="E68">
        <v>0.06</v>
      </c>
      <c r="F68">
        <v>-36.590000000000003</v>
      </c>
      <c r="H68">
        <v>-5.96</v>
      </c>
      <c r="I68">
        <v>0.01</v>
      </c>
      <c r="J68">
        <v>137</v>
      </c>
      <c r="K68">
        <v>2758.9</v>
      </c>
      <c r="L68" s="7">
        <f t="shared" ref="L68:L72" si="11">K68/(K68+J68)</f>
        <v>0.95269173659311446</v>
      </c>
      <c r="M68" s="7"/>
      <c r="N68">
        <f>H68</f>
        <v>-5.96</v>
      </c>
      <c r="O68" s="8">
        <f t="shared" ref="O68:O72" si="12">L68*ENT+(1-L68)*USGS49</f>
        <v>-8.6696712593666874</v>
      </c>
      <c r="P68">
        <f t="shared" ref="P68:P72" si="13">N68*0.001*X$12+X$12</f>
        <v>1.9932490079999999E-3</v>
      </c>
      <c r="Q68" s="8">
        <f>((J68+K68)*N68-K68*ENT)/J68</f>
        <v>6.7269124087591203</v>
      </c>
      <c r="R68" s="8">
        <f t="shared" ref="R68:R72" si="14">Q68-USGS49</f>
        <v>57.276912408759117</v>
      </c>
      <c r="S68" s="8">
        <f>((16/18)*(J68/1000)*Q68-(16/18)*(J68/1000)*USGS49)/4.93</f>
        <v>1.4148184809556006</v>
      </c>
      <c r="T68" s="8">
        <f t="shared" ref="T68:T72" si="15">S68*183.3/(4*16)</f>
        <v>4.0521285556119002</v>
      </c>
      <c r="U68" s="8">
        <f t="shared" ref="U68:U72" si="16">1000000*T68/183.3</f>
        <v>22106.538764931258</v>
      </c>
    </row>
    <row r="69" spans="1:21">
      <c r="A69" t="s">
        <v>94</v>
      </c>
      <c r="B69" t="s">
        <v>95</v>
      </c>
      <c r="C69" s="2">
        <v>45806.138136574067</v>
      </c>
      <c r="D69">
        <v>-33.520000000000003</v>
      </c>
      <c r="E69">
        <v>0.04</v>
      </c>
      <c r="F69">
        <v>-33.520000000000003</v>
      </c>
      <c r="H69">
        <v>-5.61</v>
      </c>
      <c r="I69">
        <v>0.02</v>
      </c>
      <c r="J69">
        <v>117.7</v>
      </c>
      <c r="K69">
        <v>2734.6</v>
      </c>
      <c r="L69" s="7">
        <f t="shared" si="11"/>
        <v>0.95873505591978414</v>
      </c>
      <c r="M69" s="7"/>
      <c r="N69">
        <f t="shared" ref="N69:N72" si="17">H69</f>
        <v>-5.61</v>
      </c>
      <c r="O69" s="8">
        <f t="shared" si="12"/>
        <v>-8.4040069417662888</v>
      </c>
      <c r="P69">
        <f t="shared" si="13"/>
        <v>1.9939508280000001E-3</v>
      </c>
      <c r="Q69" s="8">
        <f>((J69+K69)*N69-K69*ENT)/J69</f>
        <v>17.158971962616814</v>
      </c>
      <c r="R69" s="8">
        <f t="shared" si="14"/>
        <v>67.708971962616815</v>
      </c>
      <c r="S69" s="8">
        <f>((16/18)*(J69/1000)*Q69-(16/18)*(J69/1000)*USGS49)/4.93</f>
        <v>1.4368890691908944</v>
      </c>
      <c r="T69" s="8">
        <f t="shared" si="15"/>
        <v>4.1153400997295462</v>
      </c>
      <c r="U69" s="8">
        <f t="shared" si="16"/>
        <v>22451.391706107726</v>
      </c>
    </row>
    <row r="70" spans="1:21">
      <c r="A70" t="s">
        <v>96</v>
      </c>
      <c r="B70" t="s">
        <v>97</v>
      </c>
      <c r="C70" s="2">
        <v>45806.198425925933</v>
      </c>
      <c r="D70">
        <v>-30.97</v>
      </c>
      <c r="E70">
        <v>0.08</v>
      </c>
      <c r="F70">
        <v>-30.97</v>
      </c>
      <c r="H70">
        <v>-5.33</v>
      </c>
      <c r="I70">
        <v>0.02</v>
      </c>
      <c r="J70">
        <v>132.80000000000001</v>
      </c>
      <c r="K70">
        <v>2648.2</v>
      </c>
      <c r="L70" s="7">
        <f t="shared" si="11"/>
        <v>0.952247393024092</v>
      </c>
      <c r="M70" s="7"/>
      <c r="N70">
        <f t="shared" si="17"/>
        <v>-5.33</v>
      </c>
      <c r="O70" s="8">
        <f t="shared" si="12"/>
        <v>-8.6892046026609151</v>
      </c>
      <c r="P70">
        <f t="shared" si="13"/>
        <v>1.9945122840000001E-3</v>
      </c>
      <c r="Q70" s="8">
        <f>((J70+K70)*N70-K70*ENT)/J70</f>
        <v>19.79599397590361</v>
      </c>
      <c r="R70" s="8">
        <f t="shared" si="14"/>
        <v>70.34599397590361</v>
      </c>
      <c r="S70" s="8">
        <f>((16/18)*(J70/1000)*Q70-(16/18)*(J70/1000)*USGS49)/4.93</f>
        <v>1.6843719630380887</v>
      </c>
      <c r="T70" s="8">
        <f t="shared" si="15"/>
        <v>4.8241465753887764</v>
      </c>
      <c r="U70" s="8">
        <f t="shared" si="16"/>
        <v>26318.311922470137</v>
      </c>
    </row>
    <row r="71" spans="1:21">
      <c r="A71" t="s">
        <v>98</v>
      </c>
      <c r="B71" t="s">
        <v>99</v>
      </c>
      <c r="C71" s="2">
        <v>45806.258738425917</v>
      </c>
      <c r="D71">
        <v>-91.47</v>
      </c>
      <c r="E71">
        <v>0.22</v>
      </c>
      <c r="F71">
        <v>-91.47</v>
      </c>
      <c r="H71">
        <v>-15.84</v>
      </c>
      <c r="I71">
        <v>0.08</v>
      </c>
      <c r="J71">
        <v>112.4</v>
      </c>
      <c r="K71">
        <v>290.60000000000002</v>
      </c>
      <c r="L71" s="7">
        <f t="shared" si="11"/>
        <v>0.72109181141439216</v>
      </c>
      <c r="M71" s="7"/>
      <c r="N71">
        <f t="shared" si="17"/>
        <v>-15.84</v>
      </c>
      <c r="O71" s="8">
        <f t="shared" si="12"/>
        <v>-18.850803970223318</v>
      </c>
      <c r="P71">
        <f t="shared" si="13"/>
        <v>1.9734376319999998E-3</v>
      </c>
      <c r="Q71" s="8">
        <f>((J71+K71)*N71-K71*ENT)/J71</f>
        <v>-39.755035587188608</v>
      </c>
      <c r="R71" s="8">
        <f t="shared" si="14"/>
        <v>10.794964412811389</v>
      </c>
      <c r="S71" s="8">
        <f>((16/18)*(J71/1000)*Q71-(16/18)*(J71/1000)*USGS49)/4.93</f>
        <v>0.21877016001803029</v>
      </c>
      <c r="T71" s="8">
        <f t="shared" si="15"/>
        <v>0.62657141142663997</v>
      </c>
      <c r="U71" s="8">
        <f t="shared" si="16"/>
        <v>3418.2837502817238</v>
      </c>
    </row>
    <row r="72" spans="1:21">
      <c r="A72" t="s">
        <v>100</v>
      </c>
      <c r="B72" t="s">
        <v>101</v>
      </c>
      <c r="C72" s="2">
        <v>45806.319074074083</v>
      </c>
      <c r="D72">
        <v>-30.28</v>
      </c>
      <c r="E72">
        <v>0.22</v>
      </c>
      <c r="F72">
        <v>-30.28</v>
      </c>
      <c r="H72">
        <v>-5.46</v>
      </c>
      <c r="I72">
        <v>0.04</v>
      </c>
      <c r="J72">
        <v>157.4</v>
      </c>
      <c r="K72">
        <v>315.60000000000002</v>
      </c>
      <c r="L72" s="7">
        <f t="shared" si="11"/>
        <v>0.66723044397463005</v>
      </c>
      <c r="M72" s="7"/>
      <c r="N72">
        <f t="shared" si="17"/>
        <v>-5.46</v>
      </c>
      <c r="O72" s="8">
        <f t="shared" si="12"/>
        <v>-21.218549682875263</v>
      </c>
      <c r="P72">
        <f t="shared" si="13"/>
        <v>1.994251608E-3</v>
      </c>
      <c r="Q72" s="8">
        <f>((J72+K72)*N72-K72*ENT)/J72</f>
        <v>-3.1942566709021589</v>
      </c>
      <c r="R72" s="8">
        <f t="shared" si="14"/>
        <v>47.355743329097841</v>
      </c>
      <c r="S72" s="8">
        <f>((16/18)*(J72/1000)*Q72-(16/18)*(J72/1000)*USGS49)/4.93</f>
        <v>1.3439340094658554</v>
      </c>
      <c r="T72" s="8">
        <f t="shared" si="15"/>
        <v>3.8491109989858017</v>
      </c>
      <c r="U72" s="8">
        <f t="shared" si="16"/>
        <v>20998.968897903993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265FE-0F24-425B-9D90-FF216D1D02A7}">
  <dimension ref="A1:C14"/>
  <sheetViews>
    <sheetView workbookViewId="0">
      <selection activeCell="B3" sqref="B3"/>
    </sheetView>
  </sheetViews>
  <sheetFormatPr defaultRowHeight="15.6"/>
  <sheetData>
    <row r="1" spans="1:3">
      <c r="A1" t="s">
        <v>102</v>
      </c>
      <c r="B1" t="s">
        <v>103</v>
      </c>
    </row>
    <row r="2" spans="1:3">
      <c r="A2" t="s">
        <v>104</v>
      </c>
      <c r="B2" s="8">
        <v>80.75825044953406</v>
      </c>
      <c r="C2" t="s">
        <v>105</v>
      </c>
    </row>
    <row r="3" spans="1:3">
      <c r="A3" t="s">
        <v>106</v>
      </c>
      <c r="B3" s="8">
        <v>107.3</v>
      </c>
    </row>
    <row r="4" spans="1:3">
      <c r="A4" t="s">
        <v>107</v>
      </c>
      <c r="B4" s="8">
        <v>138.06417431297956</v>
      </c>
    </row>
    <row r="5" spans="1:3">
      <c r="A5" t="s">
        <v>108</v>
      </c>
      <c r="B5" s="8">
        <v>104.53888680730709</v>
      </c>
    </row>
    <row r="6" spans="1:3">
      <c r="A6" t="s">
        <v>109</v>
      </c>
      <c r="B6" s="8">
        <v>137.29442981314241</v>
      </c>
    </row>
    <row r="7" spans="1:3">
      <c r="A7" t="s">
        <v>110</v>
      </c>
      <c r="B7" s="8">
        <v>35.193324413715004</v>
      </c>
      <c r="C7" t="s">
        <v>105</v>
      </c>
    </row>
    <row r="8" spans="1:3">
      <c r="A8" t="s">
        <v>111</v>
      </c>
      <c r="B8" s="8">
        <v>247.82133074112673</v>
      </c>
    </row>
    <row r="9" spans="1:3">
      <c r="A9" t="s">
        <v>112</v>
      </c>
      <c r="B9" s="8">
        <v>1327.8216678051849</v>
      </c>
    </row>
    <row r="10" spans="1:3">
      <c r="A10" t="s">
        <v>113</v>
      </c>
      <c r="B10" s="8">
        <v>159.34723391563739</v>
      </c>
    </row>
    <row r="11" spans="1:3">
      <c r="A11" t="s">
        <v>114</v>
      </c>
      <c r="B11" s="8">
        <v>0.48477780918642743</v>
      </c>
    </row>
    <row r="12" spans="1:3">
      <c r="A12" t="s">
        <v>115</v>
      </c>
      <c r="B12" s="8">
        <v>19.055128566267655</v>
      </c>
    </row>
    <row r="13" spans="1:3">
      <c r="A13" t="s">
        <v>116</v>
      </c>
      <c r="B13" s="8">
        <v>654.79271398210938</v>
      </c>
    </row>
    <row r="14" spans="1:3">
      <c r="A14" t="s">
        <v>117</v>
      </c>
      <c r="B14" s="8">
        <v>266.23048178395607</v>
      </c>
    </row>
  </sheetData>
  <sortState xmlns:xlrd2="http://schemas.microsoft.com/office/spreadsheetml/2017/richdata2" ref="A2:B14">
    <sortCondition ref="A2:A1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D5C5F-EFAD-4834-8111-9752678783E6}">
  <dimension ref="A1:F12"/>
  <sheetViews>
    <sheetView workbookViewId="0">
      <selection activeCell="A7" sqref="A7"/>
    </sheetView>
  </sheetViews>
  <sheetFormatPr defaultRowHeight="15.6"/>
  <sheetData>
    <row r="1" spans="1:6">
      <c r="A1" t="s">
        <v>118</v>
      </c>
      <c r="E1" t="s">
        <v>119</v>
      </c>
    </row>
    <row r="2" spans="1:6">
      <c r="A2" s="1" t="str">
        <f>Data!B1</f>
        <v>Sample ID</v>
      </c>
      <c r="B2" t="str">
        <f>Data!N1</f>
        <v>d18O Meas</v>
      </c>
      <c r="C2" t="str">
        <f>Data!O1</f>
        <v>d18O Nominal</v>
      </c>
      <c r="E2" t="str">
        <f>Data!N1</f>
        <v>d18O Meas</v>
      </c>
      <c r="F2" t="str">
        <f>Data!O1</f>
        <v>d18O Nominal</v>
      </c>
    </row>
    <row r="3" spans="1:6">
      <c r="A3" t="str">
        <f>Data!B50</f>
        <v>Mix 1:1</v>
      </c>
      <c r="B3">
        <f>Data!N50</f>
        <v>-28.2</v>
      </c>
      <c r="C3">
        <f>Data!O50</f>
        <v>-21.184719999999999</v>
      </c>
      <c r="E3">
        <f>B3</f>
        <v>-28.2</v>
      </c>
      <c r="F3">
        <f>C11</f>
        <v>-28.57</v>
      </c>
    </row>
    <row r="4" spans="1:6">
      <c r="A4" t="str">
        <f>Data!B51</f>
        <v>Mix 1:1</v>
      </c>
      <c r="B4">
        <f>Data!N51</f>
        <v>-28.2</v>
      </c>
      <c r="C4">
        <f>Data!O51</f>
        <v>-21.184719999999999</v>
      </c>
      <c r="E4">
        <f t="shared" ref="E4:E12" si="0">B4</f>
        <v>-28.2</v>
      </c>
      <c r="F4">
        <f>C12</f>
        <v>-28.57</v>
      </c>
    </row>
    <row r="5" spans="1:6">
      <c r="A5" t="str">
        <f>Data!B52</f>
        <v>Mix 1:2</v>
      </c>
      <c r="B5">
        <f>Data!N52</f>
        <v>-20.84</v>
      </c>
      <c r="C5">
        <f>Data!O52</f>
        <v>-17.62378486055777</v>
      </c>
      <c r="E5">
        <f t="shared" si="0"/>
        <v>-20.84</v>
      </c>
      <c r="F5">
        <f>C3</f>
        <v>-21.184719999999999</v>
      </c>
    </row>
    <row r="6" spans="1:6">
      <c r="A6" t="str">
        <f>Data!B53</f>
        <v>Mix 1:2</v>
      </c>
      <c r="B6">
        <f>Data!N53</f>
        <v>-20.84</v>
      </c>
      <c r="C6">
        <f>Data!O53</f>
        <v>-17.62378486055777</v>
      </c>
      <c r="E6">
        <f t="shared" si="0"/>
        <v>-20.84</v>
      </c>
      <c r="F6">
        <f>C4</f>
        <v>-21.184719999999999</v>
      </c>
    </row>
    <row r="7" spans="1:6">
      <c r="A7" t="str">
        <f>Data!B54</f>
        <v>Mix 1:3_2</v>
      </c>
      <c r="B7">
        <f>Data!N54</f>
        <v>-17.3</v>
      </c>
      <c r="C7">
        <f>Data!O54</f>
        <v>-7.6621951219512203</v>
      </c>
      <c r="E7">
        <f t="shared" si="0"/>
        <v>-17.3</v>
      </c>
      <c r="F7">
        <f>C$5</f>
        <v>-17.62378486055777</v>
      </c>
    </row>
    <row r="8" spans="1:6">
      <c r="A8" t="str">
        <f>Data!B55</f>
        <v>Mix 1:3_2</v>
      </c>
      <c r="B8">
        <f>Data!N55</f>
        <v>-17.3</v>
      </c>
      <c r="C8">
        <f>Data!O55</f>
        <v>-7.6621951219512203</v>
      </c>
      <c r="E8">
        <f t="shared" si="0"/>
        <v>-17.3</v>
      </c>
      <c r="F8">
        <f t="shared" ref="F8:F10" si="1">C$5</f>
        <v>-17.62378486055777</v>
      </c>
    </row>
    <row r="9" spans="1:6">
      <c r="A9" t="str">
        <f>Data!B56</f>
        <v>Mix 1:3</v>
      </c>
      <c r="B9">
        <f>Data!N56</f>
        <v>-17.739999999999998</v>
      </c>
      <c r="C9">
        <f>Data!O56</f>
        <v>-7.6621951219512203</v>
      </c>
      <c r="E9">
        <f t="shared" si="0"/>
        <v>-17.739999999999998</v>
      </c>
      <c r="F9">
        <f t="shared" si="1"/>
        <v>-17.62378486055777</v>
      </c>
    </row>
    <row r="10" spans="1:6">
      <c r="A10" t="str">
        <f>Data!B57</f>
        <v>Mix 1:3</v>
      </c>
      <c r="B10">
        <f>Data!N57</f>
        <v>-17.739999999999998</v>
      </c>
      <c r="C10">
        <f>Data!O57</f>
        <v>-7.6621951219512203</v>
      </c>
      <c r="E10">
        <f t="shared" si="0"/>
        <v>-17.739999999999998</v>
      </c>
      <c r="F10">
        <f t="shared" si="1"/>
        <v>-17.62378486055777</v>
      </c>
    </row>
    <row r="11" spans="1:6">
      <c r="A11" t="str">
        <f>Data!B58</f>
        <v>Mix 1:4</v>
      </c>
      <c r="B11">
        <f>Data!N58</f>
        <v>-15.29</v>
      </c>
      <c r="C11">
        <f>Data!O58</f>
        <v>-28.57</v>
      </c>
      <c r="E11">
        <f t="shared" si="0"/>
        <v>-15.29</v>
      </c>
      <c r="F11" t="s">
        <v>120</v>
      </c>
    </row>
    <row r="12" spans="1:6">
      <c r="A12" t="str">
        <f>Data!B59</f>
        <v>Mix 1:4</v>
      </c>
      <c r="B12">
        <f>Data!N59</f>
        <v>-15.29</v>
      </c>
      <c r="C12">
        <f>Data!O59</f>
        <v>-28.57</v>
      </c>
      <c r="E12">
        <f t="shared" si="0"/>
        <v>-15.29</v>
      </c>
      <c r="F12" t="s">
        <v>120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4d9d5b-bad1-43ae-a310-979dd75c40ab">
      <Terms xmlns="http://schemas.microsoft.com/office/infopath/2007/PartnerControls"/>
    </lcf76f155ced4ddcb4097134ff3c332f>
    <TaxCatchAll xmlns="ad78e214-34d5-4fdd-b75d-5961e8c71fd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97729A3E6EAA4F9E1C9F13D541663D" ma:contentTypeVersion="14" ma:contentTypeDescription="Create a new document." ma:contentTypeScope="" ma:versionID="a8f3b37d5d7aba94c118959434cb05a4">
  <xsd:schema xmlns:xsd="http://www.w3.org/2001/XMLSchema" xmlns:xs="http://www.w3.org/2001/XMLSchema" xmlns:p="http://schemas.microsoft.com/office/2006/metadata/properties" xmlns:ns2="734d9d5b-bad1-43ae-a310-979dd75c40ab" xmlns:ns3="ad78e214-34d5-4fdd-b75d-5961e8c71fd9" targetNamespace="http://schemas.microsoft.com/office/2006/metadata/properties" ma:root="true" ma:fieldsID="98b717aaf6cb2266a61431a4b641d13c" ns2:_="" ns3:_="">
    <xsd:import namespace="734d9d5b-bad1-43ae-a310-979dd75c40ab"/>
    <xsd:import namespace="ad78e214-34d5-4fdd-b75d-5961e8c71f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d9d5b-bad1-43ae-a310-979dd75c40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c383c50-2e5a-4ee2-a287-62075b1c8a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78e214-34d5-4fdd-b75d-5961e8c71fd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7d803d5-033d-4c9d-afec-10d151e44ed4}" ma:internalName="TaxCatchAll" ma:showField="CatchAllData" ma:web="ad78e214-34d5-4fdd-b75d-5961e8c71f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F6165A-ADBB-4C31-BF51-6D2475F435C1}"/>
</file>

<file path=customXml/itemProps2.xml><?xml version="1.0" encoding="utf-8"?>
<ds:datastoreItem xmlns:ds="http://schemas.openxmlformats.org/officeDocument/2006/customXml" ds:itemID="{45494F5D-7BFC-4C7E-A5EB-2BBEAE8E358E}"/>
</file>

<file path=customXml/itemProps3.xml><?xml version="1.0" encoding="utf-8"?>
<ds:datastoreItem xmlns:ds="http://schemas.openxmlformats.org/officeDocument/2006/customXml" ds:itemID="{383786CF-DC26-49F5-8088-97B355865C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2024-07-25T16:08:22Z</dcterms:created>
  <dcterms:modified xsi:type="dcterms:W3CDTF">2026-09-07T18:23:20Z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0x0101004E97729A3E6EAA4F9E1C9F13D541663D</vt:lpwstr>
  </property>
  <property fmtid="{D5CDD505-2E9C-101B-9397-08002B2CF9AE}" pid="3" name="MediaServiceImageTags">
    <vt:lpwstr/>
  </property>
</Properties>
</file>