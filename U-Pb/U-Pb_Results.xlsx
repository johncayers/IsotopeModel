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U-Pb/"/>
    </mc:Choice>
  </mc:AlternateContent>
  <xr:revisionPtr revIDLastSave="434" documentId="8_{0DBB9A1D-8D43-4879-9CE7-36AE49D8818C}" xr6:coauthVersionLast="47" xr6:coauthVersionMax="47" xr10:uidLastSave="{F338DBBF-93F1-4D06-BF32-CA48C916C2AE}"/>
  <bookViews>
    <workbookView xWindow="-120" yWindow="-120" windowWidth="29040" windowHeight="15720" xr2:uid="{06EC71D9-91BE-467D-ABC4-CB3006456D9B}"/>
  </bookViews>
  <sheets>
    <sheet name="Data" sheetId="1" r:id="rId1"/>
    <sheet name="ConcordiaData" sheetId="2" r:id="rId2"/>
    <sheet name="PivotTable" sheetId="5" r:id="rId3"/>
  </sheets>
  <definedNames>
    <definedName name="_xlnm._FilterDatabase" localSheetId="0" hidden="1">Data!$A$1:$BI$55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12" i="1" l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11" i="1"/>
  <c r="AK10" i="1"/>
  <c r="AK9" i="1"/>
  <c r="AK8" i="1"/>
  <c r="AK7" i="1"/>
  <c r="AK6" i="1"/>
  <c r="AK5" i="1"/>
  <c r="AK4" i="1"/>
  <c r="AK3" i="1"/>
  <c r="AK2" i="1"/>
  <c r="AJ50" i="1"/>
  <c r="AJ47" i="1"/>
  <c r="AJ46" i="1"/>
  <c r="AJ43" i="1"/>
  <c r="AJ30" i="1"/>
  <c r="AJ28" i="1"/>
  <c r="AJ27" i="1"/>
  <c r="AJ24" i="1"/>
  <c r="AJ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tc={B28A1433-DA6B-4145-A923-7AC9247D1E7C}</author>
    <author>tc={15FCD9BE-CDF5-4BA7-BC12-6622FA27D416}</author>
    <author>tc={409E867E-90AD-4005-92BE-69BDC03CD723}</author>
  </authors>
  <commentList>
    <comment ref="A1" authorId="0" shapeId="0" xr:uid="{B28A1433-DA6B-4145-A923-7AC9247D1E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RPRZC = Run product recrystallized zircon core (previously metamict)
RPHZR = run product hydrothermal  zircon rim/replacement
RPCZ = run product crystalline zircon (zones that were crystalline before the experiment)
SMMZ = starting material metamict zircon
SMCZ = starting material crystalline zircon
</t>
      </text>
    </comment>
    <comment ref="D1" authorId="1" shapeId="0" xr:uid="{15FCD9BE-CDF5-4BA7-BC12-6622FA27D416}">
      <text>
        <t>[Threaded comment]
Your version of Excel allows you to read this threaded comment; however, any edits to it will get removed if the file is opened in a newer version of Excel. Learn more: https://go.microsoft.com/fwlink/?linkid=870924
Comment:
    To filter bad analyses</t>
      </text>
    </comment>
    <comment ref="AK1" authorId="2" shapeId="0" xr:uid="{409E867E-90AD-4005-92BE-69BDC03CD72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these values</t>
      </text>
    </comment>
  </commentList>
</comments>
</file>

<file path=xl/sharedStrings.xml><?xml version="1.0" encoding="utf-8"?>
<sst xmlns="http://schemas.openxmlformats.org/spreadsheetml/2006/main" count="579" uniqueCount="155">
  <si>
    <t>Class</t>
  </si>
  <si>
    <t xml:space="preserve"> Spot</t>
  </si>
  <si>
    <t>204Pb/206Pb</t>
  </si>
  <si>
    <t>204Pb/206Pb ±%</t>
  </si>
  <si>
    <t>207Pb/206Pb</t>
  </si>
  <si>
    <t>207Pb/206Pb ±%</t>
  </si>
  <si>
    <t>208Pb/206Pb</t>
  </si>
  <si>
    <t>208Pb/206Pb ±%</t>
  </si>
  <si>
    <t>206Pb/238U</t>
  </si>
  <si>
    <t>206Pb/238U ±%</t>
  </si>
  <si>
    <t>7-corr 204Pb/206Pb</t>
  </si>
  <si>
    <r>
      <t>%206Pb</t>
    </r>
    <r>
      <rPr>
        <vertAlign val="subscript"/>
        <sz val="11"/>
        <color indexed="8"/>
        <rFont val="Arial"/>
        <family val="2"/>
      </rPr>
      <t>c</t>
    </r>
  </si>
  <si>
    <t>ppm U</t>
  </si>
  <si>
    <t>ppm Th</t>
  </si>
  <si>
    <r>
      <t>7-corr ppm 206Pb</t>
    </r>
    <r>
      <rPr>
        <vertAlign val="superscript"/>
        <sz val="11"/>
        <color indexed="8"/>
        <rFont val="Arial"/>
        <family val="2"/>
      </rPr>
      <t>*</t>
    </r>
  </si>
  <si>
    <r>
      <t>7-corr ppm 208Pb</t>
    </r>
    <r>
      <rPr>
        <vertAlign val="superscript"/>
        <sz val="11"/>
        <color indexed="8"/>
        <rFont val="Arial"/>
        <family val="2"/>
      </rPr>
      <t>*</t>
    </r>
  </si>
  <si>
    <t>232Th/238U</t>
  </si>
  <si>
    <t>232Th/238U ±%</t>
  </si>
  <si>
    <t>(1) 206Pb/238U Age</t>
  </si>
  <si>
    <t>206Pb/238U Age  ±1σ</t>
  </si>
  <si>
    <t>(2) 206Pb/238U Age</t>
  </si>
  <si>
    <t>(2) 206Pb/238U Age ±1σ</t>
  </si>
  <si>
    <t>(3) 206Pb/238U Age</t>
  </si>
  <si>
    <t>(3) 206Pb/238U Age ±1σ</t>
  </si>
  <si>
    <t>(1) 207Pb/206Pb Age</t>
  </si>
  <si>
    <t>(1) 207Pb/206Pb Age ±1σ</t>
  </si>
  <si>
    <t>(1) 208Pb/232Th Age</t>
  </si>
  <si>
    <t>(1) 208Pb/232Th Age ±1σ</t>
  </si>
  <si>
    <t>(2) 208Pb/232Th Age</t>
  </si>
  <si>
    <t>(2) 208Pb/232Th Age ±1σ</t>
  </si>
  <si>
    <t>(3) 207Pb/206Pb Age</t>
  </si>
  <si>
    <t>(3) 207Pb/206Pb Age ±1σ</t>
  </si>
  <si>
    <t>% Discordant</t>
  </si>
  <si>
    <t>Our % disc</t>
  </si>
  <si>
    <r>
      <t>7corr 208Pb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/232Th</t>
    </r>
  </si>
  <si>
    <t>7corr 208Pb*/232Th ±%</t>
  </si>
  <si>
    <t>Total 238U/206Pb</t>
  </si>
  <si>
    <t>Total 238U/206Pb ±%</t>
  </si>
  <si>
    <t>Total 207Pb/206Pb</t>
  </si>
  <si>
    <t>Total 207Pb/206Pb ±%</t>
  </si>
  <si>
    <r>
      <t>(1) 238U/206Pb</t>
    </r>
    <r>
      <rPr>
        <vertAlign val="superscript"/>
        <sz val="11"/>
        <color indexed="8"/>
        <rFont val="Arial"/>
        <family val="2"/>
      </rPr>
      <t>*</t>
    </r>
  </si>
  <si>
    <t>(1) 238U/206Pb* ±%</t>
  </si>
  <si>
    <r>
      <t>(1) 207Pb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/206Pb</t>
    </r>
    <r>
      <rPr>
        <vertAlign val="superscript"/>
        <sz val="11"/>
        <color indexed="8"/>
        <rFont val="Arial"/>
        <family val="2"/>
      </rPr>
      <t>*</t>
    </r>
  </si>
  <si>
    <t>(1) 207Pb*/206Pb* ±%</t>
  </si>
  <si>
    <r>
      <t>(1) 207Pb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/235U</t>
    </r>
  </si>
  <si>
    <t>(1) 207Pb*/235U ±%</t>
  </si>
  <si>
    <r>
      <t>(1) 206Pb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/238U</t>
    </r>
  </si>
  <si>
    <t>(1) 206Pb*/238U ±%</t>
  </si>
  <si>
    <t>err corr</t>
  </si>
  <si>
    <r>
      <t>(3) 238U/206Pb</t>
    </r>
    <r>
      <rPr>
        <vertAlign val="superscript"/>
        <sz val="11"/>
        <color indexed="8"/>
        <rFont val="Arial"/>
        <family val="2"/>
      </rPr>
      <t>*</t>
    </r>
  </si>
  <si>
    <t>(3) 238U/206Pb* ±%</t>
  </si>
  <si>
    <r>
      <t>(3) 207Pb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/206Pb</t>
    </r>
    <r>
      <rPr>
        <vertAlign val="superscript"/>
        <sz val="11"/>
        <color indexed="8"/>
        <rFont val="Arial"/>
        <family val="2"/>
      </rPr>
      <t>*</t>
    </r>
  </si>
  <si>
    <t>(3) 207Pb*/206Pb* ±%</t>
  </si>
  <si>
    <r>
      <t>(3) 207Pb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/235U</t>
    </r>
  </si>
  <si>
    <t>(3) 207Pb*/235U ±%</t>
  </si>
  <si>
    <r>
      <t>(3) 206Pb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/238U</t>
    </r>
  </si>
  <si>
    <t>(3) 206Pb*/238U ±%</t>
  </si>
  <si>
    <t>err. corr.</t>
  </si>
  <si>
    <t>SMMZ</t>
  </si>
  <si>
    <t>AGF_re-1.1</t>
  </si>
  <si>
    <t>AGF_re-1.2</t>
  </si>
  <si>
    <t>SMCZ</t>
  </si>
  <si>
    <t>AGF_re-2.1</t>
  </si>
  <si>
    <t>AGF_re-2.2</t>
  </si>
  <si>
    <t>AGF_re-3.1</t>
  </si>
  <si>
    <t>AGF_re-3.2</t>
  </si>
  <si>
    <t>AGF_re-4.1</t>
  </si>
  <si>
    <t>AGF_re-4.2</t>
  </si>
  <si>
    <t>AGF_re-5.1</t>
  </si>
  <si>
    <t>AGF_re-5.2</t>
  </si>
  <si>
    <t>Mix</t>
  </si>
  <si>
    <t>015-1l</t>
  </si>
  <si>
    <t>RPHZR</t>
  </si>
  <si>
    <t>015-2r</t>
  </si>
  <si>
    <t>RPRZC</t>
  </si>
  <si>
    <t>015-3b</t>
  </si>
  <si>
    <t>015-4r</t>
  </si>
  <si>
    <t>015-5b</t>
  </si>
  <si>
    <t>RPCZ</t>
  </si>
  <si>
    <t>015-6b</t>
  </si>
  <si>
    <t>015-7r</t>
  </si>
  <si>
    <t>015-8r</t>
  </si>
  <si>
    <t>015-9b</t>
  </si>
  <si>
    <t>015-10l</t>
  </si>
  <si>
    <t>015-11t</t>
  </si>
  <si>
    <t>015-12l</t>
  </si>
  <si>
    <t>015-13l</t>
  </si>
  <si>
    <t>015-14l</t>
  </si>
  <si>
    <t>015-15l</t>
  </si>
  <si>
    <t>015-16l</t>
  </si>
  <si>
    <t>016-1r</t>
  </si>
  <si>
    <t>016-3r</t>
  </si>
  <si>
    <t>016-4t</t>
  </si>
  <si>
    <t>016-5r</t>
  </si>
  <si>
    <t>016-6l</t>
  </si>
  <si>
    <t>016-7l</t>
  </si>
  <si>
    <t>016-8r</t>
  </si>
  <si>
    <t>016-9t</t>
  </si>
  <si>
    <t>016-10t</t>
  </si>
  <si>
    <t>016-11t</t>
  </si>
  <si>
    <t>016-12t</t>
  </si>
  <si>
    <t>016-13l</t>
  </si>
  <si>
    <t>016-14t</t>
  </si>
  <si>
    <t>016-15t</t>
  </si>
  <si>
    <t>016-16</t>
  </si>
  <si>
    <t>016-17</t>
  </si>
  <si>
    <t>016-18</t>
  </si>
  <si>
    <t>014-1b</t>
  </si>
  <si>
    <t>014-3b</t>
  </si>
  <si>
    <t>014-4t</t>
  </si>
  <si>
    <t>014-5t</t>
  </si>
  <si>
    <t>014-6t</t>
  </si>
  <si>
    <t>014-7b</t>
  </si>
  <si>
    <t>014-8b</t>
  </si>
  <si>
    <t>014-9b</t>
  </si>
  <si>
    <t>014-10b</t>
  </si>
  <si>
    <t>014-11t</t>
  </si>
  <si>
    <t>014-12t</t>
  </si>
  <si>
    <r>
      <t>207Pb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/235U</t>
    </r>
  </si>
  <si>
    <t>207Pb*/235U ±%</t>
  </si>
  <si>
    <r>
      <t>206Pb</t>
    </r>
    <r>
      <rPr>
        <vertAlign val="superscript"/>
        <sz val="11"/>
        <color indexed="8"/>
        <rFont val="Arial"/>
        <family val="2"/>
      </rPr>
      <t>*</t>
    </r>
    <r>
      <rPr>
        <sz val="11"/>
        <color indexed="8"/>
        <rFont val="Arial"/>
        <family val="2"/>
      </rPr>
      <t>/238U</t>
    </r>
  </si>
  <si>
    <t>206Pb*/238U ±%</t>
  </si>
  <si>
    <t>Row Labels</t>
  </si>
  <si>
    <t>Min of % Discordant</t>
  </si>
  <si>
    <t>Max of % Discordant</t>
  </si>
  <si>
    <t>Average of ppm U</t>
  </si>
  <si>
    <t>Average of ppm Th</t>
  </si>
  <si>
    <t>Average of (1) 207Pb/206Pb Age</t>
  </si>
  <si>
    <t>Average of (1) 206Pb/238U Age</t>
  </si>
  <si>
    <t>Average of %206Pbc</t>
  </si>
  <si>
    <t>Count of (1) 206Pb/238U Age</t>
  </si>
  <si>
    <t>Count</t>
  </si>
  <si>
    <t>Average of 207Pb/206Pb Age</t>
  </si>
  <si>
    <t>Average of 206Pb/238U Age</t>
  </si>
  <si>
    <t>StdDev of ppm U</t>
  </si>
  <si>
    <t>StdDev of ppm Th</t>
  </si>
  <si>
    <t>StdDev of (1) 206Pb/238U Age</t>
  </si>
  <si>
    <t>StdDev of (1) 207Pb/206Pb Age</t>
  </si>
  <si>
    <t>Average of 7-corr ppm 206Pb*</t>
  </si>
  <si>
    <t>Average of 7-corr ppm 208Pb*</t>
  </si>
  <si>
    <t>Average of 207Pb/206Pb</t>
  </si>
  <si>
    <t>Verified</t>
  </si>
  <si>
    <t>Y</t>
  </si>
  <si>
    <t>Mix</t>
  </si>
  <si>
    <t>Mix</t>
  </si>
  <si>
    <t>CL bright?</t>
  </si>
  <si>
    <t>N</t>
  </si>
  <si>
    <t>Average of (1) 206Pb*/238U</t>
  </si>
  <si>
    <t>Average of (1) 207Pb*/235U</t>
  </si>
  <si>
    <t>N?</t>
  </si>
  <si>
    <t>Column Labels</t>
  </si>
  <si>
    <t>Values</t>
  </si>
  <si>
    <t>Min of Our % disc</t>
  </si>
  <si>
    <t>Max of Our % disc</t>
  </si>
  <si>
    <t>Include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</si>
</sst>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&gt;0.000001]0.0E+0;[&lt;-0.000001]\-0.0E+0;\-\-\-\ "/>
    <numFmt numFmtId="165" formatCode="[&gt;=0.01]0;[&lt;0.1]\-\-\-\ ;General"/>
    <numFmt numFmtId="166" formatCode="0.0000"/>
    <numFmt numFmtId="167" formatCode="0.0"/>
    <numFmt numFmtId="168" formatCode="0.000"/>
    <numFmt numFmtId="169" formatCode="0.0E+0"/>
    <numFmt numFmtId="170" formatCode="[&lt;0]&quot;-- &quot;;0.00"/>
    <numFmt numFmtId="171" formatCode="[&gt;=1000]0E+0;[&gt;=10]0;0.00"/>
    <numFmt numFmtId="172" formatCode="[&gt;=100]0;[&gt;0]0.0;0"/>
    <numFmt numFmtId="173" formatCode="[&gt;=1]\±0;[&gt;0.1]0.0;0.00"/>
    <numFmt numFmtId="174" formatCode="\+0;&quot;-&quot;0;0"/>
    <numFmt numFmtId="175" formatCode="\ \-\-\-"/>
    <numFmt numFmtId="176" formatCode="[&gt;=100]0.0;[&gt;0]0.00;0.0"/>
  </numFmts>
  <fonts count="7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indexed="8"/>
      <name val="Arial"/>
      <family val="2"/>
    </font>
    <font>
      <vertAlign val="subscript"/>
      <sz val="11"/>
      <color indexed="8"/>
      <name val="Arial"/>
      <family val="2"/>
    </font>
    <font>
      <vertAlign val="superscript"/>
      <sz val="11"/>
      <color indexed="8"/>
      <name val="Arial"/>
      <family val="2"/>
    </font>
    <font>
      <sz val="9"/>
      <color rgb="FF00000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horizontal="right" wrapText="1"/>
    </xf>
    <xf numFmtId="0" fontId="5" fillId="0" borderId="0" xfId="0" applyFont="1" applyAlignment="1">
      <alignment vertical="center"/>
    </xf>
    <xf numFmtId="49" fontId="6" fillId="0" borderId="4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8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69" fontId="6" fillId="0" borderId="5" xfId="0" applyNumberFormat="1" applyFont="1" applyBorder="1" applyAlignment="1">
      <alignment horizontal="right"/>
    </xf>
    <xf numFmtId="170" fontId="6" fillId="0" borderId="5" xfId="0" applyNumberFormat="1" applyFont="1" applyBorder="1" applyAlignment="1">
      <alignment horizontal="right"/>
    </xf>
    <xf numFmtId="1" fontId="6" fillId="0" borderId="5" xfId="0" applyNumberFormat="1" applyFont="1" applyBorder="1" applyAlignment="1">
      <alignment horizontal="right"/>
    </xf>
    <xf numFmtId="171" fontId="6" fillId="0" borderId="5" xfId="0" applyNumberFormat="1" applyFont="1" applyBorder="1" applyAlignment="1">
      <alignment horizontal="right"/>
    </xf>
    <xf numFmtId="172" fontId="6" fillId="0" borderId="0" xfId="0" applyNumberFormat="1" applyFont="1" applyAlignment="1">
      <alignment horizontal="right"/>
    </xf>
    <xf numFmtId="173" fontId="6" fillId="0" borderId="5" xfId="0" applyNumberFormat="1" applyFont="1" applyBorder="1" applyAlignment="1">
      <alignment horizontal="left"/>
    </xf>
    <xf numFmtId="174" fontId="6" fillId="0" borderId="0" xfId="0" applyNumberFormat="1" applyFont="1" applyAlignment="1">
      <alignment horizontal="right" indent="1"/>
    </xf>
    <xf numFmtId="167" fontId="6" fillId="0" borderId="0" xfId="0" applyNumberFormat="1" applyFont="1" applyAlignment="1">
      <alignment horizontal="right"/>
    </xf>
    <xf numFmtId="2" fontId="6" fillId="0" borderId="5" xfId="0" applyNumberFormat="1" applyFont="1" applyBorder="1" applyAlignment="1">
      <alignment horizontal="center"/>
    </xf>
    <xf numFmtId="175" fontId="6" fillId="0" borderId="5" xfId="0" applyNumberFormat="1" applyFont="1" applyBorder="1" applyAlignment="1">
      <alignment horizontal="right"/>
    </xf>
    <xf numFmtId="49" fontId="6" fillId="0" borderId="1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7" fontId="6" fillId="0" borderId="3" xfId="0" applyNumberFormat="1" applyFont="1" applyBorder="1" applyAlignment="1">
      <alignment horizontal="right"/>
    </xf>
    <xf numFmtId="168" fontId="6" fillId="0" borderId="2" xfId="0" applyNumberFormat="1" applyFont="1" applyBorder="1" applyAlignment="1">
      <alignment horizontal="right"/>
    </xf>
    <xf numFmtId="2" fontId="6" fillId="0" borderId="2" xfId="0" applyNumberFormat="1" applyFont="1" applyBorder="1" applyAlignment="1">
      <alignment horizontal="right"/>
    </xf>
    <xf numFmtId="169" fontId="6" fillId="0" borderId="3" xfId="0" applyNumberFormat="1" applyFont="1" applyBorder="1" applyAlignment="1">
      <alignment horizontal="right"/>
    </xf>
    <xf numFmtId="170" fontId="6" fillId="0" borderId="3" xfId="0" applyNumberFormat="1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171" fontId="6" fillId="0" borderId="3" xfId="0" applyNumberFormat="1" applyFont="1" applyBorder="1" applyAlignment="1">
      <alignment horizontal="right"/>
    </xf>
    <xf numFmtId="172" fontId="6" fillId="0" borderId="2" xfId="0" applyNumberFormat="1" applyFont="1" applyBorder="1" applyAlignment="1">
      <alignment horizontal="right"/>
    </xf>
    <xf numFmtId="173" fontId="6" fillId="0" borderId="3" xfId="0" applyNumberFormat="1" applyFont="1" applyBorder="1" applyAlignment="1">
      <alignment horizontal="left"/>
    </xf>
    <xf numFmtId="167" fontId="6" fillId="0" borderId="2" xfId="0" applyNumberFormat="1" applyFont="1" applyBorder="1" applyAlignment="1">
      <alignment horizontal="right"/>
    </xf>
    <xf numFmtId="2" fontId="6" fillId="0" borderId="3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right" wrapText="1"/>
    </xf>
    <xf numFmtId="2" fontId="6" fillId="2" borderId="0" xfId="0" applyNumberFormat="1" applyFont="1" applyFill="1" applyAlignment="1">
      <alignment horizontal="right"/>
    </xf>
    <xf numFmtId="2" fontId="6" fillId="2" borderId="2" xfId="0" applyNumberFormat="1" applyFont="1" applyFill="1" applyBorder="1" applyAlignment="1">
      <alignment horizontal="right"/>
    </xf>
    <xf numFmtId="0" fontId="0" fillId="2" borderId="0" xfId="0" applyFill="1"/>
    <xf numFmtId="168" fontId="6" fillId="2" borderId="0" xfId="0" applyNumberFormat="1" applyFont="1" applyFill="1" applyAlignment="1">
      <alignment horizontal="right"/>
    </xf>
    <xf numFmtId="168" fontId="6" fillId="2" borderId="2" xfId="0" applyNumberFormat="1" applyFont="1" applyFill="1" applyBorder="1" applyAlignment="1">
      <alignment horizontal="right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6" fillId="0" borderId="5" xfId="0" applyNumberFormat="1" applyFont="1" applyBorder="1" applyAlignment="1">
      <alignment horizontal="right" indent="1"/>
    </xf>
    <xf numFmtId="2" fontId="6" fillId="0" borderId="3" xfId="0" applyNumberFormat="1" applyFont="1" applyBorder="1" applyAlignment="1">
      <alignment horizontal="right" indent="1"/>
    </xf>
    <xf numFmtId="172" fontId="0" fillId="0" borderId="0" xfId="0" applyNumberFormat="1"/>
    <xf numFmtId="170" fontId="0" fillId="0" borderId="0" xfId="0" applyNumberFormat="1"/>
    <xf numFmtId="2" fontId="0" fillId="0" borderId="0" xfId="0" applyNumberFormat="1"/>
    <xf numFmtId="167" fontId="0" fillId="0" borderId="0" xfId="0" applyNumberFormat="1"/>
    <xf numFmtId="176" fontId="0" fillId="0" borderId="0" xfId="0" applyNumberFormat="1"/>
    <xf numFmtId="0" fontId="0" fillId="0" borderId="0" xfId="0" applyAlignment="1">
      <alignment wrapText="1"/>
    </xf>
    <xf numFmtId="49" fontId="2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2" fontId="2" fillId="0" borderId="3" xfId="0" applyNumberFormat="1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6" fontId="0" fillId="0" borderId="0" xfId="0" applyNumberFormat="1"/>
    <xf numFmtId="16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0">
    <dxf>
      <numFmt numFmtId="167" formatCode="0.0"/>
    </dxf>
    <dxf>
      <numFmt numFmtId="176" formatCode="[&gt;=100]0.0;[&gt;0]0.00;0.0"/>
    </dxf>
    <dxf>
      <numFmt numFmtId="167" formatCode="0.0"/>
    </dxf>
    <dxf>
      <alignment wrapText="0"/>
    </dxf>
    <dxf>
      <numFmt numFmtId="1" formatCode="0"/>
    </dxf>
    <dxf>
      <numFmt numFmtId="167" formatCode="0.0"/>
    </dxf>
    <dxf>
      <numFmt numFmtId="176" formatCode="[&gt;=100]0.0;[&gt;0]0.00;0.0"/>
    </dxf>
    <dxf>
      <alignment wrapText="1"/>
    </dxf>
    <dxf>
      <alignment wrapText="1"/>
    </dxf>
    <dxf>
      <numFmt numFmtId="167" formatCode="0.0"/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fill>
        <patternFill patternType="none">
          <fgColor indexed="64"/>
          <bgColor auto="1"/>
        </patternFill>
      </fill>
    </dxf>
    <dxf>
      <numFmt numFmtId="167" formatCode="0.0"/>
    </dxf>
    <dxf>
      <alignment wrapText="1"/>
    </dxf>
    <dxf>
      <alignment wrapText="1"/>
    </dxf>
    <dxf>
      <numFmt numFmtId="176" formatCode="[&gt;=100]0.0;[&gt;0]0.00;0.0"/>
    </dxf>
    <dxf>
      <numFmt numFmtId="167" formatCode="0.0"/>
    </dxf>
    <dxf>
      <numFmt numFmtId="1" formatCode="0"/>
    </dxf>
    <dxf>
      <alignment wrapText="0"/>
    </dxf>
    <dxf>
      <numFmt numFmtId="167" formatCode="0.0"/>
    </dxf>
    <dxf>
      <numFmt numFmtId="176" formatCode="[&gt;=100]0.0;[&gt;0]0.00;0.0"/>
    </dxf>
    <dxf>
      <numFmt numFmtId="167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Ayers" id="{D8E9D275-7C4F-440D-B17A-76847E38446C}" userId="55fd3f8ffa58db1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yers, John C" refreshedDate="46293.5637712963" createdVersion="8" refreshedVersion="8" minRefreshableVersion="3" recordCount="54" xr:uid="{CE238C59-7279-4C05-904B-4B9B04FA7981}">
  <cacheSource type="worksheet">
    <worksheetSource ref="A1:BI55" sheet="Data"/>
  </cacheSource>
  <cacheFields count="61">
    <cacheField name="Class" numFmtId="0">
      <sharedItems count="7">
        <s v="SMMZ"/>
        <s v="SMCZ"/>
        <s v="RPHZR"/>
        <s v="RPRZC"/>
        <s v="Mix"/>
        <s v="RPCZ"/>
        <s v="SMMZ " u="1"/>
      </sharedItems>
    </cacheField>
    <cacheField name="Verified" numFmtId="0">
      <sharedItems containsBlank="1"/>
    </cacheField>
    <cacheField name="CL bright?" numFmtId="0">
      <sharedItems containsBlank="1"/>
    </cacheField>
    <cacheField name="Include (Y/N)" numFmtId="0">
      <sharedItems count="2">
        <s v="Y"/>
        <s v="N"/>
      </sharedItems>
    </cacheField>
    <cacheField name=" Spot" numFmtId="49">
      <sharedItems/>
    </cacheField>
    <cacheField name="204Pb/206Pb" numFmtId="164">
      <sharedItems containsSemiMixedTypes="0" containsString="0" containsNumber="1" minValue="-7.082881126399597E-4" maxValue="4.9976274992217845E-4"/>
    </cacheField>
    <cacheField name="204Pb/206Pb ±%" numFmtId="0">
      <sharedItems containsSemiMixedTypes="0" containsString="0" containsNumber="1" minValue="31.625946895373296" maxValue="9999"/>
    </cacheField>
    <cacheField name="207Pb/206Pb" numFmtId="166">
      <sharedItems containsSemiMixedTypes="0" containsString="0" containsNumber="1" minValue="5.1671864342732785E-2" maxValue="0.1128907015598187"/>
    </cacheField>
    <cacheField name="207Pb/206Pb ±%" numFmtId="167">
      <sharedItems containsSemiMixedTypes="0" containsString="0" containsNumber="1" minValue="0.43787353690287439" maxValue="14.240083779600395"/>
    </cacheField>
    <cacheField name="208Pb/206Pb" numFmtId="168">
      <sharedItems containsSemiMixedTypes="0" containsString="0" containsNumber="1" minValue="5.683680207909967E-2" maxValue="0.42101309974783224"/>
    </cacheField>
    <cacheField name="208Pb/206Pb ±%" numFmtId="167">
      <sharedItems containsSemiMixedTypes="0" containsString="0" containsNumber="1" minValue="0.52431368126782263" maxValue="17.354286530995893"/>
    </cacheField>
    <cacheField name="206Pb/238U" numFmtId="2">
      <sharedItems containsSemiMixedTypes="0" containsString="0" containsNumber="1" minValue="0.12556594051577902" maxValue="0.70971138538605749"/>
    </cacheField>
    <cacheField name="206Pb/238U ±%" numFmtId="167">
      <sharedItems containsSemiMixedTypes="0" containsString="0" containsNumber="1" minValue="0.84390636773693217" maxValue="13.018026900163356"/>
    </cacheField>
    <cacheField name="7-corr 204Pb/206Pb" numFmtId="169">
      <sharedItems containsSemiMixedTypes="0" containsString="0" containsNumber="1" minValue="-3.106841555057671E-4" maxValue="2.4671118130142463E-3"/>
    </cacheField>
    <cacheField name="%206Pbc" numFmtId="170">
      <sharedItems containsSemiMixedTypes="0" containsString="0" containsNumber="1" minValue="-0.55243921606027635" maxValue="4.1494764098371899"/>
    </cacheField>
    <cacheField name="ppm U" numFmtId="1">
      <sharedItems containsSemiMixedTypes="0" containsString="0" containsNumber="1" minValue="30.216728627695101" maxValue="1221.4099617967399"/>
    </cacheField>
    <cacheField name="ppm Th" numFmtId="1">
      <sharedItems containsSemiMixedTypes="0" containsString="0" containsNumber="1" minValue="6.9106319343091336" maxValue="1041.1002419107642"/>
    </cacheField>
    <cacheField name="7-corr ppm 206Pb*" numFmtId="1">
      <sharedItems containsSemiMixedTypes="0" containsString="0" containsNumber="1" minValue="2.4045496985169654" maxValue="245.76406118186662"/>
    </cacheField>
    <cacheField name="7-corr ppm 208Pb*" numFmtId="167">
      <sharedItems containsSemiMixedTypes="0" containsString="0" containsNumber="1" minValue="0.15650891546889761" maxValue="60.926125320770538"/>
    </cacheField>
    <cacheField name="232Th/238U" numFmtId="2">
      <sharedItems containsSemiMixedTypes="0" containsString="0" containsNumber="1" minValue="0.201760588036868" maxValue="1.1563367774454101"/>
    </cacheField>
    <cacheField name="232Th/238U ±%" numFmtId="171">
      <sharedItems containsSemiMixedTypes="0" containsString="0" containsNumber="1" minValue="0.26709975310645501" maxValue="3.2939713543060498"/>
    </cacheField>
    <cacheField name="(1) 206Pb/238U Age" numFmtId="172">
      <sharedItems containsSemiMixedTypes="0" containsString="0" containsNumber="1" minValue="322.6257909557462" maxValue="1470.6459946112966"/>
    </cacheField>
    <cacheField name="206Pb/238U Age  ±1σ" numFmtId="173">
      <sharedItems containsSemiMixedTypes="0" containsString="0" containsNumber="1" minValue="4.5838453790611631" maxValue="206.28883083459101"/>
    </cacheField>
    <cacheField name="(2) 206Pb/238U Age" numFmtId="172">
      <sharedItems containsSemiMixedTypes="0" containsString="0" containsNumber="1" minValue="324.00537858618497" maxValue="1467.8017717989469"/>
    </cacheField>
    <cacheField name="(2) 206Pb/238U Age ±1σ" numFmtId="173">
      <sharedItems containsSemiMixedTypes="0" containsString="0" containsNumber="1" minValue="4.5653083930530745" maxValue="210.42307305929717"/>
    </cacheField>
    <cacheField name="(3) 206Pb/238U Age" numFmtId="172">
      <sharedItems containsSemiMixedTypes="0" containsString="0" containsNumber="1" minValue="310.91977607728273" maxValue="1472.3098776889217"/>
    </cacheField>
    <cacheField name="(3) 206Pb/238U Age ±1σ" numFmtId="173">
      <sharedItems containsSemiMixedTypes="0" containsString="0" containsNumber="1" minValue="5.3224985698390741" maxValue="234.27070480182203"/>
    </cacheField>
    <cacheField name="(1) 207Pb/206Pb Age" numFmtId="172">
      <sharedItems containsSemiMixedTypes="0" containsString="0" containsNumber="1" minValue="165.1139695394528" maxValue="1849.6637518349655"/>
    </cacheField>
    <cacheField name="(1) 207Pb/206Pb Age ±1σ" numFmtId="173">
      <sharedItems containsSemiMixedTypes="0" containsString="0" containsNumber="1" minValue="8.434092918938763" maxValue="256.86311830617603"/>
    </cacheField>
    <cacheField name="(1) 208Pb/232Th Age" numFmtId="172">
      <sharedItems containsSemiMixedTypes="0" containsString="0" containsNumber="1" minValue="191.5146882094399" maxValue="1455.931400458142"/>
    </cacheField>
    <cacheField name="(1) 208Pb/232Th Age ±1σ" numFmtId="173">
      <sharedItems containsSemiMixedTypes="0" containsString="0" containsNumber="1" minValue="7.8457992032237662" maxValue="318.87094753685091"/>
    </cacheField>
    <cacheField name="(2) 208Pb/232Th Age" numFmtId="172">
      <sharedItems containsSemiMixedTypes="0" containsString="0" containsNumber="1" minValue="52.121688833790706" maxValue="1427.9132524706138"/>
    </cacheField>
    <cacheField name="(2) 208Pb/232Th Age ±1σ" numFmtId="173">
      <sharedItems containsSemiMixedTypes="0" containsString="0" containsNumber="1" minValue="8.331578947481006" maxValue="327.48602890918318"/>
    </cacheField>
    <cacheField name="(3) 207Pb/206Pb Age" numFmtId="0">
      <sharedItems containsBlank="1" containsMixedTypes="1" containsNumber="1" minValue="338.53920824891588" maxValue="2398.6243407520255"/>
    </cacheField>
    <cacheField name="(3) 207Pb/206Pb Age ±1σ" numFmtId="173">
      <sharedItems containsMixedTypes="1" containsNumber="1" minValue="16.378752886262578" maxValue="484.42045788938287"/>
    </cacheField>
    <cacheField name="% Discordant" numFmtId="2">
      <sharedItems containsSemiMixedTypes="0" containsString="0" containsNumber="1" minValue="-95.395817722532001" maxValue="39.0170459257129"/>
    </cacheField>
    <cacheField name="Our % disc" numFmtId="174">
      <sharedItems containsSemiMixedTypes="0" containsString="0" containsNumber="1" minValue="-95.395817722532001" maxValue="36.064636267982287"/>
    </cacheField>
    <cacheField name="7corr 208Pb*/232Th" numFmtId="166">
      <sharedItems containsSemiMixedTypes="0" containsString="0" containsNumber="1" minValue="2.5820483147416251E-3" maxValue="7.32012541386593E-2"/>
    </cacheField>
    <cacheField name="7corr 208Pb*/232Th ±%" numFmtId="167">
      <sharedItems containsSemiMixedTypes="0" containsString="0" containsNumber="1" minValue="1.4493754722693601" maxValue="35.248282897078077"/>
    </cacheField>
    <cacheField name="Total 238U/206Pb" numFmtId="167">
      <sharedItems containsSemiMixedTypes="0" containsString="0" containsNumber="1" minValue="3.9021971610209971" maxValue="19.430109441420786"/>
    </cacheField>
    <cacheField name="Total 238U/206Pb ±%" numFmtId="167">
      <sharedItems containsSemiMixedTypes="0" containsString="0" containsNumber="1" minValue="0.96847199282410978" maxValue="18.989967546202866"/>
    </cacheField>
    <cacheField name="Total 207Pb/206Pb" numFmtId="166">
      <sharedItems containsSemiMixedTypes="0" containsString="0" containsNumber="1" minValue="5.1671864342732785E-2" maxValue="0.1128907015598187"/>
    </cacheField>
    <cacheField name="Total 207Pb/206Pb ±%" numFmtId="167">
      <sharedItems containsSemiMixedTypes="0" containsString="0" containsNumber="1" minValue="0.43787353690287439" maxValue="14.240083779600395"/>
    </cacheField>
    <cacheField name="(1) 238U/206Pb*" numFmtId="167">
      <sharedItems containsSemiMixedTypes="0" containsString="0" containsNumber="1" minValue="3.9023841734604989" maxValue="19.485258008510826"/>
    </cacheField>
    <cacheField name="(1) 238U/206Pb* ±%" numFmtId="167">
      <sharedItems containsSemiMixedTypes="0" containsString="0" containsNumber="1" minValue="0.96848385062439701" maxValue="18.98997262434877"/>
    </cacheField>
    <cacheField name="(1) 207Pb*/206Pb*" numFmtId="166">
      <sharedItems containsSemiMixedTypes="0" containsString="0" containsNumber="1" minValue="4.9385319677499345E-2" maxValue="0.11314151966745731"/>
    </cacheField>
    <cacheField name="(1) 207Pb*/206Pb* ±%" numFmtId="167">
      <sharedItems containsSemiMixedTypes="0" containsString="0" containsNumber="1" minValue="0.44300273135420065" maxValue="14.204449139752892"/>
    </cacheField>
    <cacheField name="(1) 207Pb*/235U" numFmtId="2">
      <sharedItems containsSemiMixedTypes="0" containsString="0" containsNumber="1" minValue="0.3494563877039476" maxValue="3.3182806746390412"/>
    </cacheField>
    <cacheField name="(1) 207Pb*/235U ±%" numFmtId="167">
      <sharedItems containsSemiMixedTypes="0" containsString="0" containsNumber="1" minValue="1.0696051941789517" maxValue="23.714667099441694"/>
    </cacheField>
    <cacheField name="(1) 206Pb*/238U" numFmtId="168">
      <sharedItems containsSemiMixedTypes="0" containsString="0" containsNumber="1" minValue="5.1320849822117681E-2" maxValue="0.25625360178550405"/>
    </cacheField>
    <cacheField name="(1) 206Pb*/238U ±%" numFmtId="167">
      <sharedItems containsSemiMixedTypes="0" containsString="0" containsNumber="1" minValue="0.96848385062439701" maxValue="18.98997262434877"/>
    </cacheField>
    <cacheField name="err corr" numFmtId="167">
      <sharedItems containsSemiMixedTypes="0" containsString="0" containsNumber="1" minValue="0.21742680265274783" maxValue="0.9459552250943507"/>
    </cacheField>
    <cacheField name="(3) 238U/206Pb*" numFmtId="167">
      <sharedItems containsSemiMixedTypes="0" containsString="0" containsNumber="1" minValue="3.8974518817745034" maxValue="20.23738727869781"/>
    </cacheField>
    <cacheField name="(3) 238U/206Pb* ±%" numFmtId="167">
      <sharedItems containsSemiMixedTypes="0" containsString="0" containsNumber="1" minValue="1.0864642671196305" maxValue="21.953654947376002"/>
    </cacheField>
    <cacheField name="(3) 207Pb*/206Pb*" numFmtId="168">
      <sharedItems containsSemiMixedTypes="0" containsString="0" containsNumber="1" minValue="1.8200879880466255E-2" maxValue="0.15477738475707994"/>
    </cacheField>
    <cacheField name="(3) 207Pb*/206Pb* ±%" numFmtId="167">
      <sharedItems containsSemiMixedTypes="0" containsString="0" containsNumber="1" minValue="0.86942550620812031" maxValue="22.590127573172413"/>
    </cacheField>
    <cacheField name="(3) 207Pb*/235U" numFmtId="2">
      <sharedItems containsSemiMixedTypes="0" containsString="0" containsNumber="1" minValue="0.12400500535759701" maxValue="3.4880290161906733"/>
    </cacheField>
    <cacheField name="(3) 207Pb*/235U ±%" numFmtId="167">
      <sharedItems containsSemiMixedTypes="0" containsString="0" containsNumber="1" minValue="1.2185009861046845" maxValue="28.014029981815685"/>
    </cacheField>
    <cacheField name="(3) 206Pb*/238U" numFmtId="168">
      <sharedItems containsSemiMixedTypes="0" containsString="0" containsNumber="1" minValue="4.9413493265141772E-2" maxValue="0.25657789507966977"/>
    </cacheField>
    <cacheField name="(3) 206Pb*/238U ±%" numFmtId="167">
      <sharedItems containsSemiMixedTypes="0" containsString="0" containsNumber="1" minValue="1.0864642671196305" maxValue="21.953654947376002"/>
    </cacheField>
    <cacheField name="err. corr." numFmtId="2">
      <sharedItems containsSemiMixedTypes="0" containsString="0" containsNumber="1" minValue="0.27360123144573745" maxValue="0.833826961397721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m/>
    <s v="N"/>
    <x v="0"/>
    <s v="AGF_re-1.1"/>
    <n v="-1.1233808276614739E-5"/>
    <n v="44.721610443008977"/>
    <n v="9.9425508443495014E-2"/>
    <n v="4.5452771281202766"/>
    <n v="0.27425143463570339"/>
    <n v="4.6919171496641461"/>
    <n v="0.68355477199265346"/>
    <n v="2.0728177746079592"/>
    <n v="8.9664177216215485E-4"/>
    <n v="1.4728960760546355"/>
    <n v="1221.4099617967399"/>
    <n v="1041.1002419107642"/>
    <n v="245.76406118186662"/>
    <n v="60.926125320770538"/>
    <n v="0.88050415792563397"/>
    <n v="0.59944938707134698"/>
    <n v="1375.1821815197516"/>
    <n v="70.803337292172131"/>
    <n v="1356.6902389501561"/>
    <n v="75.113087518209753"/>
    <n v="1366.3613280430377"/>
    <n v="80.749959041588212"/>
    <n v="1615.4220961925978"/>
    <n v="84.504485151150931"/>
    <n v="1445.952479217837"/>
    <n v="103.55053286676737"/>
    <n v="1278.8626046317333"/>
    <n v="120.72011840135121"/>
    <n v="1498.3843025832796"/>
    <n v="135.33848620013299"/>
    <n v="16.503326635537601"/>
    <n v="14.8716496598053"/>
    <n v="6.5316275489178954E-2"/>
    <n v="9.7414275642865835"/>
    <n v="4.206219806214718"/>
    <n v="5.7173243217915983"/>
    <n v="9.9425508443495014E-2"/>
    <n v="4.5452771281202766"/>
    <n v="4.2054437521573202"/>
    <n v="5.7173302758328273"/>
    <n v="9.958049862302551E-2"/>
    <n v="4.5378990850814684"/>
    <n v="3.2648538321549112"/>
    <n v="7.2993419970116413"/>
    <n v="0.23778703483717198"/>
    <n v="5.7173302758328273"/>
    <n v="0.783266529801386"/>
    <n v="4.2355923570547045"/>
    <n v="6.5582796334094873"/>
    <n v="9.3559348883397342E-2"/>
    <n v="7.1565857423855075"/>
    <n v="3.0456101382270524"/>
    <n v="8.8303112640905717"/>
    <n v="0.2360944858950893"/>
    <n v="6.5582796334094873"/>
    <n v="0.6023719636393926"/>
  </r>
  <r>
    <x v="0"/>
    <m/>
    <s v="Y"/>
    <x v="0"/>
    <s v="AGF_re-1.2"/>
    <n v="1.7927639556802096E-4"/>
    <n v="40.828487938202798"/>
    <n v="6.0271197311145393E-2"/>
    <n v="1.7251469187469288"/>
    <n v="7.5828999815898052E-2"/>
    <n v="3.0039301964574672"/>
    <n v="0.20128075156998221"/>
    <n v="3.9076602549201485"/>
    <n v="1.8008109128487892E-4"/>
    <n v="0.3222236602711856"/>
    <n v="276.32624891049301"/>
    <n v="162.10901432614224"/>
    <n v="19.761847918230664"/>
    <n v="1.3821434923893516"/>
    <n v="0.60601775060880203"/>
    <n v="0.432725108466818"/>
    <n v="515.53165346099195"/>
    <n v="9.6245294168726847"/>
    <n v="515.52449660920524"/>
    <n v="9.7797601797818636"/>
    <n v="546.05645876381038"/>
    <n v="10.520946388750437"/>
    <n v="515.97196428947757"/>
    <n v="56.871809588568055"/>
    <n v="191.5146882094399"/>
    <n v="10.248048633100089"/>
    <n v="191.43102720151344"/>
    <n v="10.378496090176476"/>
    <n v="1712.8507600873131"/>
    <n v="22.324500708916506"/>
    <n v="8.8793874303505493E-2"/>
    <n v="8.5336192459976701E-2"/>
    <n v="9.5160423948570383E-3"/>
    <n v="5.4472472150971685"/>
    <n v="11.972534401925259"/>
    <n v="1.9381097904663118"/>
    <n v="6.0271197311145393E-2"/>
    <n v="1.7251469187469288"/>
    <n v="12.011063949020999"/>
    <n v="1.942558516790073"/>
    <n v="5.7662443936366652E-2"/>
    <n v="2.5896819655735448"/>
    <n v="0.66193118309009291"/>
    <n v="3.2372806912546999"/>
    <n v="8.3256571128447643E-2"/>
    <n v="1.942558516790073"/>
    <n v="0.60005872275387384"/>
    <n v="11.312456725155908"/>
    <n v="2.0094690390612033"/>
    <n v="0.10496364756521563"/>
    <n v="1.2138419739395556"/>
    <n v="1.2793319857842349"/>
    <n v="2.1684110268475369"/>
    <n v="8.8398128213499794E-2"/>
    <n v="2.0094690390612033"/>
    <n v="0.83382696139772106"/>
  </r>
  <r>
    <x v="1"/>
    <m/>
    <m/>
    <x v="0"/>
    <s v="AGF_re-2.1"/>
    <n v="-1.8468904587511139E-5"/>
    <n v="44.721772223478311"/>
    <n v="0.1128907015598187"/>
    <n v="14.240083779600395"/>
    <n v="0.28198975710519653"/>
    <n v="14.367584640976327"/>
    <n v="0.56904885262289373"/>
    <n v="13.018026900163356"/>
    <n v="2.4671118130142463E-3"/>
    <n v="4.1494764098371899"/>
    <n v="837.78555043303197"/>
    <n v="654.66858585718978"/>
    <n v="139.75369286125729"/>
    <n v="28.261034282283731"/>
    <n v="0.80721450595671795"/>
    <n v="0.28266098995321398"/>
    <n v="1189.6180684195404"/>
    <n v="206.28883083459101"/>
    <n v="1144.0581845186464"/>
    <n v="210.42307305929717"/>
    <n v="1166.5811396298297"/>
    <n v="234.27070480182203"/>
    <n v="1849.6637518349655"/>
    <n v="256.86311830617603"/>
    <n v="1385.38144053158"/>
    <n v="318.87094753685091"/>
    <n v="951.11473714291242"/>
    <n v="327.48602890918318"/>
    <n v="1540.6344364890224"/>
    <n v="424.80915829570051"/>
    <n v="39.0170459257129"/>
    <n v="35.684630936872964"/>
    <n v="4.8181126526222195E-2"/>
    <n v="35.248282897078077"/>
    <n v="4.9357962824606796"/>
    <n v="18.989967546202866"/>
    <n v="0.1128907015598187"/>
    <n v="14.240083779600395"/>
    <n v="4.9342635443827501"/>
    <n v="18.98997262434877"/>
    <n v="0.11314151966745731"/>
    <n v="14.204449139752892"/>
    <n v="3.161556449393196"/>
    <n v="23.714667099441694"/>
    <n v="0.20266448903776474"/>
    <n v="18.98997262434877"/>
    <n v="0.80076909976087518"/>
    <n v="5.0409752351092818"/>
    <n v="21.953654947376002"/>
    <n v="9.5679159518424137E-2"/>
    <n v="22.590127573172413"/>
    <n v="2.6170020480400811"/>
    <n v="28.014029981815685"/>
    <n v="0.19837431317559751"/>
    <n v="21.953654947376002"/>
    <n v="0.61497743913867142"/>
  </r>
  <r>
    <x v="1"/>
    <m/>
    <m/>
    <x v="0"/>
    <s v="AGF_re-2.2"/>
    <n v="2.9555749901316897E-6"/>
    <n v="100.00014715363943"/>
    <n v="9.3957510558607085E-2"/>
    <n v="0.45165120814032245"/>
    <n v="0.24000863574960546"/>
    <n v="0.55665126164827727"/>
    <n v="0.70971138538605749"/>
    <n v="3.2351432306564245"/>
    <n v="1.3631927733593957E-4"/>
    <n v="0.22103231177566479"/>
    <n v="935.06002719384901"/>
    <n v="745.07988147961964"/>
    <n v="205.38203533807689"/>
    <n v="48.866468964319125"/>
    <n v="0.82312097104423199"/>
    <n v="0.44921740194627302"/>
    <n v="1470.6459946112966"/>
    <n v="12.73512603032861"/>
    <n v="1467.8017717989469"/>
    <n v="13.749837955042114"/>
    <n v="1472.3098776889217"/>
    <n v="14.300903467742369"/>
    <n v="1505.5859937153423"/>
    <n v="8.5769025105603021"/>
    <n v="1455.931400458142"/>
    <n v="16.924218413045875"/>
    <n v="1427.9132524706138"/>
    <n v="20.620261414664679"/>
    <n v="1527.1929786587302"/>
    <n v="16.378752886262578"/>
    <n v="2.5951943905933099"/>
    <n v="2.3206910299307424"/>
    <n v="7.32012541386593E-2"/>
    <n v="1.495693545092307"/>
    <n v="3.9021971610209971"/>
    <n v="0.96847199282410978"/>
    <n v="9.3957510558607085E-2"/>
    <n v="0.45165120814032245"/>
    <n v="3.9023841734604989"/>
    <n v="0.96848385062439701"/>
    <n v="9.3916492513861485E-2"/>
    <n v="0.45397610343974448"/>
    <n v="3.3182806746390412"/>
    <n v="1.0696051941789517"/>
    <n v="0.25625360178550405"/>
    <n v="0.96848385062439701"/>
    <n v="0.90545918802107417"/>
    <n v="3.8974518817745034"/>
    <n v="1.0864642671196305"/>
    <n v="9.4998308042358912E-2"/>
    <n v="0.86942550620812031"/>
    <n v="3.3607513601724781"/>
    <n v="1.2185009861046845"/>
    <n v="0.25657789507966977"/>
    <n v="1.0864642671196305"/>
    <n v="0.72109276904003283"/>
  </r>
  <r>
    <x v="1"/>
    <m/>
    <m/>
    <x v="0"/>
    <s v="AGF_re-3.1"/>
    <n v="4.5606449054612475E-5"/>
    <n v="70.712290266569383"/>
    <n v="9.4815165442756352E-2"/>
    <n v="1.2398673606934953"/>
    <n v="6.2125909850670735E-2"/>
    <n v="2.8598619529641387"/>
    <n v="0.65334588385269921"/>
    <n v="1.4765512553369033"/>
    <n v="6.0283442807856262E-4"/>
    <n v="0.99138728914619312"/>
    <n v="123.364620121055"/>
    <n v="25.722059153843144"/>
    <n v="24.596388186083907"/>
    <n v="1.0125564676461087"/>
    <n v="0.21538498703961101"/>
    <n v="0.91232318172510696"/>
    <n v="1356.7605813545981"/>
    <n v="16.152565861868894"/>
    <n v="1345.5304623871123"/>
    <n v="17.205048394288223"/>
    <n v="1358.6580219338207"/>
    <n v="16.637893581559211"/>
    <n v="1510.9148709569847"/>
    <n v="25.236249137894418"/>
    <n v="1288.5650967153608"/>
    <n v="47.462849079180486"/>
    <n v="869.09580123134299"/>
    <n v="85.483460126022251"/>
    <n v="1536.9028107609076"/>
    <n v="25.068957384620472"/>
    <n v="11.3092755397867"/>
    <n v="10.202711785128457"/>
    <n v="4.3936344359625901E-2"/>
    <n v="10.048887726104175"/>
    <n v="4.2656520425292648"/>
    <n v="1.3191318723985666"/>
    <n v="9.4815165442756352E-2"/>
    <n v="1.2398673606934953"/>
    <n v="4.2688537587450259"/>
    <n v="1.3201991828395438"/>
    <n v="9.4181859783521116E-2"/>
    <n v="1.336706497634607"/>
    <n v="3.0419863412630708"/>
    <n v="1.8787522836150532"/>
    <n v="0.23425492099639969"/>
    <n v="1.3201991828395438"/>
    <n v="0.70269997505964232"/>
    <n v="4.2622427425646814"/>
    <n v="1.3581602465768026"/>
    <n v="9.5489531568952221E-2"/>
    <n v="1.3324370407301187"/>
    <n v="3.0890067525353602"/>
    <n v="1.8050117827389207"/>
    <n v="0.23461826564065635"/>
    <n v="1.3581602465768026"/>
    <n v="0.67862222586869358"/>
  </r>
  <r>
    <x v="1"/>
    <m/>
    <m/>
    <x v="0"/>
    <s v="AGF_re-3.2"/>
    <n v="-1.2936088893451109E-12"/>
    <n v="9999"/>
    <n v="6.9620265139117898E-2"/>
    <n v="1.7884297362806678"/>
    <n v="9.0804267006915296E-2"/>
    <n v="3.0245950556842129"/>
    <n v="0.33669201426007245"/>
    <n v="3.5724694245915067"/>
    <n v="4.1116035484254845E-4"/>
    <n v="0.72098843397125412"/>
    <n v="154.00978020282301"/>
    <n v="51.103477641106991"/>
    <n v="15.866608381568065"/>
    <n v="1.2180129573656089"/>
    <n v="0.342769740556359"/>
    <n v="0.69655343034245698"/>
    <n v="735.19579360305431"/>
    <n v="8.7789479664185226"/>
    <n v="730.18426273249474"/>
    <n v="9.0126677498394763"/>
    <n v="740.10271534446531"/>
    <n v="9.2692892748175453"/>
    <n v="916.24900525624025"/>
    <n v="36.79155623519128"/>
    <n v="636.71453137790365"/>
    <n v="21.004255828437532"/>
    <n v="530.65536080938159"/>
    <n v="29.402362315838783"/>
    <n v="1077.0853645179945"/>
    <n v="35.946846388965582"/>
    <n v="20.9028995407532"/>
    <n v="19.760262834070105"/>
    <n v="2.6601850788977366E-2"/>
    <n v="5.6138165634491113"/>
    <n v="8.2777976681770813"/>
    <n v="1.2634823123257846"/>
    <n v="6.9620265139117898E-2"/>
    <n v="1.7884297362806678"/>
    <n v="8.2777976679893079"/>
    <n v="1.263482312325805"/>
    <n v="6.9620265157661579E-2"/>
    <n v="1.7884297357657257"/>
    <n v="1.1596372060480735"/>
    <n v="2.1897188114758541"/>
    <n v="0.12080507885171611"/>
    <n v="1.263482312325805"/>
    <n v="0.57700664838981186"/>
    <n v="8.2197267749313987"/>
    <n v="1.3257031288615015"/>
    <n v="7.5355081165639298E-2"/>
    <n v="1.7907696537026383"/>
    <n v="1.2640272451397947"/>
    <n v="2.1050513741274575"/>
    <n v="0.12165854503215479"/>
    <n v="1.3257031288615015"/>
    <n v="0.53425713343019243"/>
  </r>
  <r>
    <x v="1"/>
    <m/>
    <s v="N"/>
    <x v="0"/>
    <s v="AGF_re-4.1"/>
    <n v="-1.4764292559147612E-14"/>
    <n v="9999"/>
    <n v="9.3663179733075308E-2"/>
    <n v="0.45176694644265719"/>
    <n v="0.27486075652021619"/>
    <n v="0.52431368126782263"/>
    <n v="0.673313210533381"/>
    <n v="2.9742198528138237"/>
    <n v="2.8908482840383414E-4"/>
    <n v="0.47151693035667136"/>
    <n v="975.60394543595703"/>
    <n v="880.8002723472888"/>
    <n v="205.9919672010555"/>
    <n v="55.267576052831139"/>
    <n v="0.93261890297928995"/>
    <n v="0.26709975310645501"/>
    <n v="1422.807118441096"/>
    <n v="14.651789981172776"/>
    <n v="1416.7842950320207"/>
    <n v="15.704471569881346"/>
    <n v="1423.1651602544318"/>
    <n v="16.737315429292973"/>
    <n v="1500.4815654634319"/>
    <n v="8.5409875135875755"/>
    <n v="1420.0810959675148"/>
    <n v="17.685717739163763"/>
    <n v="1368.1573842710893"/>
    <n v="20.379339951440375"/>
    <n v="1505.2924256041572"/>
    <n v="17.096466868569145"/>
    <n v="5.7676300576573798"/>
    <n v="5.1766345425473901"/>
    <n v="7.0033104292996695E-2"/>
    <n v="1.5405285572731016"/>
    <n v="4.0491494989502925"/>
    <n v="1.1476004481288387"/>
    <n v="9.3663179733075308E-2"/>
    <n v="0.45176694644265719"/>
    <n v="4.0491494989493164"/>
    <n v="1.1476004481288387"/>
    <n v="9.3663179733280352E-2"/>
    <n v="0.45176694644155996"/>
    <n v="3.1893806896919279"/>
    <n v="1.2333207865120261"/>
    <n v="0.24696544305402468"/>
    <n v="1.1476004481288387"/>
    <n v="0.9304963158647358"/>
    <n v="4.0480142584748151"/>
    <n v="1.3106543350894482"/>
    <n v="9.3901900641857675E-2"/>
    <n v="0.90488182841487819"/>
    <n v="3.1984062391562564"/>
    <n v="1.3533862984009497"/>
    <n v="0.24703470297972063"/>
    <n v="1.3106543350894482"/>
    <n v="0.76971046752023209"/>
  </r>
  <r>
    <x v="0"/>
    <m/>
    <s v="Y"/>
    <x v="0"/>
    <s v="AGF_re-4.2"/>
    <n v="3.0879353611929804E-5"/>
    <n v="100.00154383075966"/>
    <n v="6.2515497046617172E-2"/>
    <n v="1.741289799285312"/>
    <n v="9.0192573160463044E-2"/>
    <n v="2.838725373765286"/>
    <n v="0.25987860256686734"/>
    <n v="2.5657079541670234"/>
    <n v="1.0068525480124677E-4"/>
    <n v="0.1780788396654317"/>
    <n v="242.06014346828999"/>
    <n v="80.526684294055769"/>
    <n v="21.712273318141079"/>
    <n v="1.8980324532965644"/>
    <n v="0.34365039896234201"/>
    <n v="1.1299906535462401"/>
    <n v="641.02090197186669"/>
    <n v="11.265065866659043"/>
    <n v="640.26709600997924"/>
    <n v="11.520121864493939"/>
    <n v="646.11624280420267"/>
    <n v="11.869528614705967"/>
    <n v="675.51389507064391"/>
    <n v="40.556473466866777"/>
    <n v="540.51528850556861"/>
    <n v="20.258186851022273"/>
    <n v="524.85281347976877"/>
    <n v="25.783018717612226"/>
    <n v="893.22057221131183"/>
    <n v="40.082710495901893"/>
    <n v="5.36402995925949"/>
    <n v="5.1061855796719016"/>
    <n v="2.6307175173056807E-2"/>
    <n v="4.9764851823950886"/>
    <n v="9.5595418069016294"/>
    <n v="1.8453768388957745"/>
    <n v="6.2515497046617172E-2"/>
    <n v="1.741289799285312"/>
    <n v="9.564765636209076"/>
    <n v="1.8461857615039963"/>
    <n v="6.2068667339884767E-2"/>
    <n v="1.8968653475478576"/>
    <n v="0.89474516975360219"/>
    <n v="2.6469794129739554"/>
    <n v="0.10455039234984774"/>
    <n v="1.8461857615039963"/>
    <n v="0.69746887809367386"/>
    <n v="9.4855250057095066"/>
    <n v="1.9306584339686947"/>
    <n v="6.8846658274031691E-2"/>
    <n v="1.9414233478513587"/>
    <n v="1.0007434735673291"/>
    <n v="2.5158576316766177"/>
    <n v="0.10542379039621763"/>
    <n v="1.9306584339686947"/>
    <n v="0.64726355226039534"/>
  </r>
  <r>
    <x v="1"/>
    <m/>
    <s v="N"/>
    <x v="0"/>
    <s v="AGF_re-5.1"/>
    <n v="-8.0418495658220225E-6"/>
    <n v="57.735258994527364"/>
    <n v="9.1020628926747726E-2"/>
    <n v="0.43787353690287439"/>
    <n v="6.7378233470336613E-2"/>
    <n v="3.024982927590421"/>
    <n v="0.64171513986679118"/>
    <n v="3.1797876702249996"/>
    <n v="3.3367696678114064E-4"/>
    <n v="0.54874620316902067"/>
    <n v="1123.6523731560501"/>
    <n v="274.95306223314526"/>
    <n v="223.94070531696897"/>
    <n v="12.580945686396953"/>
    <n v="0.252770803561854"/>
    <n v="1.22163350765339"/>
    <n v="1351.8844370337445"/>
    <n v="15.759071438905837"/>
    <n v="1345.0282191735021"/>
    <n v="16.765090730134922"/>
    <n v="1356.060308654648"/>
    <n v="16.320584948117972"/>
    <n v="1448.5208192552548"/>
    <n v="8.434092918938763"/>
    <n v="1224.4754844232268"/>
    <n v="41.794250458364687"/>
    <n v="1006.7430237273109"/>
    <n v="52.688841977918628"/>
    <n v="1507.7766384554532"/>
    <n v="16.729276795948156"/>
    <n v="7.3934116862003103"/>
    <n v="6.671383727242187"/>
    <n v="5.1069914008789796E-2"/>
    <n v="5.3650149286671169"/>
    <n v="4.2864953622898287"/>
    <n v="1.2921892584992376"/>
    <n v="9.1020628926747726E-2"/>
    <n v="0.43787353690287439"/>
    <n v="4.2859285409792607"/>
    <n v="1.292211811791502"/>
    <n v="9.1132703864011511E-2"/>
    <n v="0.44300273135420065"/>
    <n v="2.9317747808037264"/>
    <n v="1.366039086747066"/>
    <n v="0.23332166890760089"/>
    <n v="1.292211811791502"/>
    <n v="0.9459552250943507"/>
    <n v="4.2712983229687254"/>
    <n v="1.3345508004375206"/>
    <n v="9.4025468717970906E-2"/>
    <n v="0.88574081590902076"/>
    <n v="3.0351969463521717"/>
    <n v="1.3993694924434059"/>
    <n v="0.23412085141010697"/>
    <n v="1.3345508004375206"/>
    <n v="0.79107819809817104"/>
  </r>
  <r>
    <x v="0"/>
    <m/>
    <s v="N"/>
    <x v="0"/>
    <s v="AGF_re-5.2"/>
    <n v="2.8200559663259263E-5"/>
    <n v="70.711674002909405"/>
    <n v="8.5294789644825383E-2"/>
    <n v="1.0165717674410544"/>
    <n v="5.683680207909967E-2"/>
    <n v="4.844496912836382"/>
    <n v="0.40870653910572408"/>
    <n v="1.3405643281428954"/>
    <n v="1.1743729302888708E-3"/>
    <n v="2.0291600136515311"/>
    <n v="318.81066447743001"/>
    <n v="239.4212762072747"/>
    <n v="40.107646170822129"/>
    <n v="0.55388130376515599"/>
    <n v="0.77576507275095796"/>
    <n v="3.2939713543060498"/>
    <n v="897.68031886896927"/>
    <n v="13.82164864400276"/>
    <n v="881.05515328658498"/>
    <n v="14.069734616195024"/>
    <n v="975.89250571815694"/>
    <n v="15.321449692231164"/>
    <n v="1312.3404139571981"/>
    <n v="20.834586237901675"/>
    <n v="216.14714308885561"/>
    <n v="13.389633272559601"/>
    <n v="52.121688833790706"/>
    <n v="13.129251825177693"/>
    <n v="2398.6243407520255"/>
    <n v="35.05708322474468"/>
    <n v="33.822776326205997"/>
    <n v="31.596991960178471"/>
    <n v="2.5820483147416251E-3"/>
    <n v="25.222105673609242"/>
    <n v="6.6895308513563512"/>
    <n v="1.6490383773859372"/>
    <n v="8.5294789644825383E-2"/>
    <n v="1.0165717674410544"/>
    <n v="6.6927920354942811"/>
    <n v="1.6493986517503387"/>
    <n v="8.4898130529746513E-2"/>
    <n v="1.0739508118923096"/>
    <n v="1.7490091094063025"/>
    <n v="1.9682190576152814"/>
    <n v="0.14941447376470696"/>
    <n v="1.6493986517503387"/>
    <n v="0.838015791671467"/>
    <n v="6.1182707228773783"/>
    <n v="1.6918277928665426"/>
    <n v="0.15477738475707994"/>
    <n v="2.0613897963179095"/>
    <n v="3.4880290161906733"/>
    <n v="2.9141603792591293"/>
    <n v="0.1634448760596372"/>
    <n v="1.6918277928665426"/>
    <n v="0.72057940908442808"/>
  </r>
  <r>
    <x v="2"/>
    <s v="Y"/>
    <s v="N"/>
    <x v="0"/>
    <s v="015-1l"/>
    <n v="-5.3878933418922547E-5"/>
    <n v="57.736581551198263"/>
    <n v="5.8226673524175529E-2"/>
    <n v="1.3726136882061806"/>
    <n v="0.3167401829721182"/>
    <n v="1.2167008248220523"/>
    <n v="0.24067536907421266"/>
    <n v="3.6571519038938121"/>
    <n v="-6.9674560476959641E-5"/>
    <n v="-0.12398309650161864"/>
    <n v="417.85395577096801"/>
    <n v="399.85877595975393"/>
    <n v="33.480869989097791"/>
    <n v="10.782804310323311"/>
    <n v="0.98851311531636399"/>
    <n v="0.331875929491462"/>
    <n v="574.73996305809146"/>
    <n v="9.4172674511545758"/>
    <n v="574.89436716911212"/>
    <n v="9.6065279671547614"/>
    <n v="570.88805456036766"/>
    <n v="11.13693047964415"/>
    <n v="566.46095766201518"/>
    <n v="33.844779017852083"/>
    <n v="598.27209725414934"/>
    <n v="12.718838420135206"/>
    <n v="599.36935702025937"/>
    <n v="13.202935092613156"/>
    <n v="338.53920824891588"/>
    <n v="83.05418299184818"/>
    <n v="-1.5276666311265601"/>
    <n v="-1.4615315114119483"/>
    <n v="3.0097851245642904E-2"/>
    <n v="2.2356266650031689"/>
    <n v="10.733937581997736"/>
    <n v="1.7117614618237653"/>
    <n v="5.8226673524175529E-2"/>
    <n v="1.3726136882061806"/>
    <n v="10.723656232695859"/>
    <n v="1.712654556932838"/>
    <n v="5.9009326954955872E-2"/>
    <n v="1.5544113823042134"/>
    <n v="0.75871566786544831"/>
    <n v="2.3128727541349332"/>
    <n v="9.3251777033942315E-2"/>
    <n v="1.712654556932838"/>
    <n v="0.74048801598400493"/>
    <n v="10.799284836496282"/>
    <n v="2.0384637291571361"/>
    <n v="5.325220456843003E-2"/>
    <n v="3.6668119134761499"/>
    <n v="0.67989816706022765"/>
    <n v="4.1691681825553681"/>
    <n v="9.2598724372978003E-2"/>
    <n v="2.0384637291571361"/>
    <n v="0.47606044982442491"/>
  </r>
  <r>
    <x v="2"/>
    <s v="Y"/>
    <s v="N"/>
    <x v="0"/>
    <s v="015-2r"/>
    <n v="3.1156426146275934E-4"/>
    <n v="44.728325516557582"/>
    <n v="5.8683569464880105E-2"/>
    <n v="2.5177972900861532"/>
    <n v="0.30399239694326591"/>
    <n v="2.2475951187942704"/>
    <n v="0.17863251270853067"/>
    <n v="1.9670926628738732"/>
    <n v="1.8059628487693347E-4"/>
    <n v="0.32496919484136755"/>
    <n v="155.82360218685201"/>
    <n v="131.2193431226992"/>
    <n v="9.7523700236784165"/>
    <n v="2.9357634637689607"/>
    <n v="0.86989120738723102"/>
    <n v="0.49883911614445797"/>
    <n v="452.32268646313742"/>
    <n v="5.5032343161658916"/>
    <n v="453.35784358965464"/>
    <n v="5.5383347562226364"/>
    <n v="446.84094325226016"/>
    <n v="6.4941108423247025"/>
    <n v="375.43596657918215"/>
    <n v="105.20019634628686"/>
    <n v="490.31503013395218"/>
    <n v="15.37383322712013"/>
    <n v="498.51821426747085"/>
    <n v="14.3935700018424"/>
    <m/>
    <n v="158.81167101195723"/>
    <n v="-20.479316508888431"/>
    <n v="-20.479316508888431"/>
    <n v="2.4970865876079662E-2"/>
    <n v="2.9230230914395383"/>
    <n v="13.680520186030137"/>
    <n v="1.2343482206670129"/>
    <n v="5.8683569464880105E-2"/>
    <n v="2.5177972900861532"/>
    <n v="13.757650534093212"/>
    <n v="1.2598447222112532"/>
    <n v="5.4129661896257356E-2"/>
    <n v="4.674952511172191"/>
    <n v="0.54249072279897737"/>
    <n v="4.8417341630658246"/>
    <n v="7.268682959505858E-2"/>
    <n v="1.2598447222112532"/>
    <n v="0.26020526525841092"/>
    <n v="13.932417580708107"/>
    <n v="1.5042901708378584"/>
    <n v="4.3811116779949179E-2"/>
    <n v="6.4353105746562793"/>
    <n v="0.43356989170234006"/>
    <n v="6.8864222915424325"/>
    <n v="7.1775052262622152E-2"/>
    <n v="1.5042901708378584"/>
    <n v="0.39928260765543722"/>
  </r>
  <r>
    <x v="3"/>
    <s v="Y"/>
    <s v="N"/>
    <x v="0"/>
    <s v="015-3b"/>
    <n v="2.1359633682423976E-13"/>
    <n v="9999"/>
    <n v="5.9214032090285772E-2"/>
    <n v="1.2037549512403578"/>
    <n v="0.27952649607189006"/>
    <n v="1.1209020932916727"/>
    <n v="0.23980261132018452"/>
    <n v="2.3824000989177772"/>
    <n v="-1.2217155940448512E-5"/>
    <n v="-2.1727826454766667E-2"/>
    <n v="533.47765662866698"/>
    <n v="462.25435972806031"/>
    <n v="43.180942160800562"/>
    <n v="12.20475519692058"/>
    <n v="0.89508669700755905"/>
    <n v="0.31072592303262803"/>
    <n v="580.37665523780743"/>
    <n v="8.8051566598116864"/>
    <n v="580.49724733893584"/>
    <n v="8.9873171652829864"/>
    <n v="579.54716744799691"/>
    <n v="10.224392870787538"/>
    <n v="573.99634026362605"/>
    <n v="26.176493507227654"/>
    <n v="586.06916473837282"/>
    <n v="11.363559684551355"/>
    <n v="587.01723654077352"/>
    <n v="12.094220327310298"/>
    <n v="528.47059867098665"/>
    <n v="54.184158044375643"/>
    <n v="-1.16235696547433"/>
    <n v="-1.1115602185287514"/>
    <n v="2.9468528966798635E-2"/>
    <n v="2.0903465730404656"/>
    <n v="10.614795635758725"/>
    <n v="1.5864648509353803"/>
    <n v="5.9214032090285772E-2"/>
    <n v="1.2037549512403578"/>
    <n v="10.614795635799048"/>
    <n v="1.5864648509353807"/>
    <n v="5.9214032087183857E-2"/>
    <n v="1.2037549513081032"/>
    <n v="0.76915571663441806"/>
    <n v="1.9914559262138325"/>
    <n v="9.4208125555186276E-2"/>
    <n v="1.5864648509353807"/>
    <n v="0.79663568249365013"/>
    <n v="10.630682440945915"/>
    <n v="1.8446947911227134"/>
    <n v="5.7991906486992283E-2"/>
    <n v="2.4725650676211712"/>
    <n v="0.75215529302510342"/>
    <n v="2.9057313333181098"/>
    <n v="9.4067338155857882E-2"/>
    <n v="1.8446947911227134"/>
    <n v="0.5347383359589295"/>
  </r>
  <r>
    <x v="3"/>
    <s v="Y"/>
    <s v="N"/>
    <x v="0"/>
    <s v="015-4r"/>
    <n v="-1.3744151604633913E-5"/>
    <n v="100.00068583020946"/>
    <n v="5.9506588511778709E-2"/>
    <n v="1.1731596666730346"/>
    <n v="0.28322279445969212"/>
    <n v="1.0927123358628843"/>
    <n v="0.2330293477171442"/>
    <n v="2.3420883424674814"/>
    <n v="3.4696025770103514E-5"/>
    <n v="6.1791737877300537E-2"/>
    <n v="525.82368846746795"/>
    <n v="464.0174201135311"/>
    <n v="41.46737096568441"/>
    <n v="11.811233501550323"/>
    <n v="0.91157930973840695"/>
    <n v="0.30541271935149"/>
    <n v="566.67977850423631"/>
    <n v="6.7618273367348598"/>
    <n v="566.2118765882899"/>
    <n v="6.895285078580061"/>
    <n v="566.21007913804272"/>
    <n v="7.894339814303196"/>
    <n v="591.96403955714186"/>
    <n v="26.357331067924232"/>
    <n v="569.82908101037742"/>
    <n v="9.5244714065390106"/>
    <n v="566.22392910325107"/>
    <n v="10.134047970269696"/>
    <n v="566.11205851149543"/>
    <n v="52.246574090988787"/>
    <n v="4.4616061292159701"/>
    <n v="4.2712494954627829"/>
    <n v="2.8410008934002917E-2"/>
    <n v="1.8149458956138755"/>
    <n v="10.885750299211518"/>
    <n v="1.2462105043790166"/>
    <n v="5.9506588511778709E-2"/>
    <n v="1.1731596666730346"/>
    <n v="10.883086382198885"/>
    <n v="1.2464507565602787"/>
    <n v="5.9706070615424336E-2"/>
    <n v="1.2157415887374332"/>
    <n v="0.75642816084966236"/>
    <n v="1.7411683144129144"/>
    <n v="9.1885699045416741E-2"/>
    <n v="1.2464507565602787"/>
    <n v="0.71587034190922305"/>
    <n v="10.892517071790095"/>
    <n v="1.4563688953254033"/>
    <n v="5.8999872265565398E-2"/>
    <n v="2.3994212827192256"/>
    <n v="0.7468340269159891"/>
    <n v="2.7486459576804996"/>
    <n v="9.1806144843219251E-2"/>
    <n v="1.4563688953254033"/>
    <n v="0.489482998302882"/>
  </r>
  <r>
    <x v="3"/>
    <s v="Y"/>
    <s v="N"/>
    <x v="0"/>
    <s v="015-5b"/>
    <n v="2.1753532981656154E-5"/>
    <n v="70.711446776059887"/>
    <n v="5.8721396109270033E-2"/>
    <n v="1.0502688436224916"/>
    <n v="0.339684159206044"/>
    <n v="0.90399235340810369"/>
    <n v="0.24699962707247369"/>
    <n v="1.9975798358280759"/>
    <n v="-4.675081626981787E-5"/>
    <n v="-8.3144851999981367E-2"/>
    <n v="658.78280188081203"/>
    <n v="700.75408088873417"/>
    <n v="53.354202381890666"/>
    <n v="18.378831463295601"/>
    <n v="1.09881278547558"/>
    <n v="0.27648567351190301"/>
    <n v="580.14137003545432"/>
    <n v="5.4599203909793061"/>
    <n v="580.81752762602264"/>
    <n v="5.583838846538459"/>
    <n v="580.38201038253953"/>
    <n v="6.6287095878618638"/>
    <n v="544.01119607161968"/>
    <n v="24.558915488618382"/>
    <n v="578.84041873045226"/>
    <n v="7.8457992032237662"/>
    <n v="583.17187096696705"/>
    <n v="8.331578947481006"/>
    <n v="557.2179332876259"/>
    <n v="68.310957187233441"/>
    <n v="-6.9450593744868199"/>
    <n v="-6.6414394087356357"/>
    <n v="2.9272691762811665E-2"/>
    <n v="1.4493754722693601"/>
    <n v="10.61518893761035"/>
    <n v="0.98373919672959886"/>
    <n v="5.8721396109270033E-2"/>
    <n v="1.0502688436224916"/>
    <n v="10.619297328408742"/>
    <n v="0.98411980086972206"/>
    <n v="5.8405170628781575E-2"/>
    <n v="1.1236534495119324"/>
    <n v="0.75832747471466633"/>
    <n v="1.4936829841247863"/>
    <n v="9.416818920069224E-2"/>
    <n v="0.98411980086972206"/>
    <n v="0.65885453026457319"/>
    <n v="10.614693218761992"/>
    <n v="1.1943140189926089"/>
    <n v="5.87595519076596E-2"/>
    <n v="3.1324624831215431"/>
    <n v="0.76325964868281193"/>
    <n v="3.485034491098729"/>
    <n v="9.4209034532665603E-2"/>
    <n v="1.1943140189926089"/>
    <n v="0.45162499332781941"/>
  </r>
  <r>
    <x v="3"/>
    <s v="Y"/>
    <s v="N"/>
    <x v="0"/>
    <s v="015-6b"/>
    <n v="-2.8247959403727916E-5"/>
    <n v="70.711676474225982"/>
    <n v="5.9805390022966837E-2"/>
    <n v="1.186649968629496"/>
    <n v="0.25314768868095261"/>
    <n v="1.1685132680527666"/>
    <n v="0.23422877418158874"/>
    <n v="2.0776432589501894"/>
    <n v="3.622546462118249E-5"/>
    <n v="6.4455782418768162E-2"/>
    <n v="538.38144456196005"/>
    <n v="439.97080590171396"/>
    <n v="43.25579908084633"/>
    <n v="11.004080906026603"/>
    <n v="0.84417813259937702"/>
    <n v="0.74018349371430003"/>
    <n v="577.02610605661187"/>
    <n v="7.0407619335750589"/>
    <n v="576.39320607817933"/>
    <n v="7.1792768253056378"/>
    <n v="579.10457697649747"/>
    <n v="8.1149882306833874"/>
    <n v="610.34147982748709"/>
    <n v="27.50013986575528"/>
    <n v="561.7749118592277"/>
    <n v="10.550511551344211"/>
    <n v="556.496140312487"/>
    <n v="11.154528531455107"/>
    <n v="716.49184188968775"/>
    <n v="49.179867161784188"/>
    <n v="5.7062026611041601"/>
    <n v="5.4584810097278336"/>
    <n v="2.7915172435292845E-2"/>
    <n v="2.0321416784001638"/>
    <n v="10.684615294623107"/>
    <n v="1.2751106176414582"/>
    <n v="5.9805390022966837E-2"/>
    <n v="1.186649968629496"/>
    <n v="10.679247750013117"/>
    <n v="1.2756053310889484"/>
    <n v="6.0215117339140846E-2"/>
    <n v="1.2723670272130101"/>
    <n v="0.77743868979072439"/>
    <n v="1.8016899879394952"/>
    <n v="9.3639554340217618E-2"/>
    <n v="1.2756053310889484"/>
    <n v="0.70800489519720089"/>
    <n v="10.639177809234688"/>
    <n v="1.4651834069066563"/>
    <n v="6.3273824902341999E-2"/>
    <n v="2.3156992114705401"/>
    <n v="0.8200065018146806"/>
    <n v="2.6840883007337974"/>
    <n v="9.399222552066111E-2"/>
    <n v="1.4651834069066563"/>
    <n v="0.50711320521294545"/>
  </r>
  <r>
    <x v="4"/>
    <s v="Y"/>
    <s v="Mix"/>
    <x v="0"/>
    <s v="015-7r"/>
    <n v="2.4035283459600752E-5"/>
    <n v="70.711527712365978"/>
    <n v="5.8905381915553785E-2"/>
    <n v="1.1011572061876407"/>
    <n v="0.33341070567541115"/>
    <n v="0.9598104172249653"/>
    <n v="0.25038706976615011"/>
    <n v="2.7641937951487114"/>
    <n v="-2.6929266696781276E-5"/>
    <n v="-4.7910655957321552E-2"/>
    <n v="574.32892074014899"/>
    <n v="598.94954426252582"/>
    <n v="46.196353748479844"/>
    <n v="15.591605637100859"/>
    <n v="1.0772831680247601"/>
    <n v="0.28884738149498501"/>
    <n v="576.51888396887171"/>
    <n v="8.0470170397856045"/>
    <n v="577.01912916479375"/>
    <n v="8.2154600434431835"/>
    <n v="576.68199890009987"/>
    <n v="9.6767424359396266"/>
    <n v="549.64737729478952"/>
    <n v="25.893320451218717"/>
    <n v="575.61677363481886"/>
    <n v="10.103526317425214"/>
    <n v="578.88354222923192"/>
    <n v="10.557749147507428"/>
    <n v="558.6295198398567"/>
    <n v="68.203976909405981"/>
    <n v="-5.1108913051130003"/>
    <n v="-4.8888628935766434"/>
    <n v="2.9054339220191849E-2"/>
    <n v="1.8500541806603659"/>
    <n v="10.684499303261504"/>
    <n v="1.4588254435490515"/>
    <n v="5.8905381915553785E-2"/>
    <n v="1.1011572061876407"/>
    <n v="10.689070151111554"/>
    <n v="1.4591390504548474"/>
    <n v="5.8556049183241581E-2"/>
    <n v="1.1858404153688478"/>
    <n v="0.7553237042368709"/>
    <n v="1.8802404791101681"/>
    <n v="9.3553507074327705E-2"/>
    <n v="1.4591390504548474"/>
    <n v="0.77603852627691072"/>
    <n v="10.685909529798193"/>
    <n v="1.7541773372761358"/>
    <n v="5.8797603598400791E-2"/>
    <n v="3.1283040688709227"/>
    <n v="0.75866387990097484"/>
    <n v="3.6360088793394625"/>
    <n v="9.3581177831559392E-2"/>
    <n v="1.7541773372761358"/>
    <n v="0.5104424358209243"/>
  </r>
  <r>
    <x v="4"/>
    <s v="Y"/>
    <s v="Mix"/>
    <x v="0"/>
    <s v="015-8r"/>
    <n v="-2.0052953147841802E-4"/>
    <n v="31.625946895373296"/>
    <n v="5.8993503208460064E-2"/>
    <n v="1.4425353684090492"/>
    <n v="0.24717455652957473"/>
    <n v="1.4091266282624"/>
    <n v="0.23836145447836568"/>
    <n v="3.7508196552969704"/>
    <n v="2.8616579034244098E-5"/>
    <n v="5.1040008026883979E-2"/>
    <n v="353.34779670289402"/>
    <n v="278.81604328658392"/>
    <n v="27.056336879118742"/>
    <n v="6.7265969325705344"/>
    <n v="0.81510900988358204"/>
    <n v="0.35502004627616102"/>
    <n v="552.60700706565399"/>
    <n v="8.5731410927372007"/>
    <n v="550.44994598149742"/>
    <n v="8.6891134766215998"/>
    <n v="552.21211937947783"/>
    <n v="9.7631003698420802"/>
    <n v="669.56239438993498"/>
    <n v="43.128339331359598"/>
    <n v="555.60745380336698"/>
    <n v="12.964975170852542"/>
    <n v="537.05613179918737"/>
    <n v="12.548967908374768"/>
    <n v="648.48301002715027"/>
    <n v="51.337507826727908"/>
    <n v="18.2244521700954"/>
    <n v="17.467436687635924"/>
    <n v="2.692700464029385E-2"/>
    <n v="2.3678017697381435"/>
    <n v="11.212561373413198"/>
    <n v="1.6149161692723208"/>
    <n v="5.8993503208460064E-2"/>
    <n v="1.4425353684090492"/>
    <n v="11.172601356670677"/>
    <n v="1.6188446157551255"/>
    <n v="6.18962193270996E-2"/>
    <n v="2.0151754991814474"/>
    <n v="0.76385529639657823"/>
    <n v="2.5848772083912528"/>
    <n v="8.9504670226414479E-2"/>
    <n v="1.6188446157551255"/>
    <n v="0.62627524839473669"/>
    <n v="11.180938240159664"/>
    <n v="1.8448042474146273"/>
    <n v="6.1290623833017865E-2"/>
    <n v="2.3904008841774744"/>
    <n v="0.75581771695537292"/>
    <n v="2.7982654057580651"/>
    <n v="8.9437932534874642E-2"/>
    <n v="1.8448042474146273"/>
    <n v="0.53460928542814623"/>
  </r>
  <r>
    <x v="3"/>
    <s v="Y"/>
    <s v="N"/>
    <x v="0"/>
    <s v="015-9b"/>
    <n v="-1.1789128384971511E-5"/>
    <n v="100.0005885796768"/>
    <n v="5.8621128355918289E-2"/>
    <n v="1.0921236253519981"/>
    <n v="0.25940452088943111"/>
    <n v="1.0530258564327073"/>
    <n v="0.24526251784547592"/>
    <n v="2.0928011090654519"/>
    <n v="-4.8122392443175807E-5"/>
    <n v="-8.5608021335177975E-2"/>
    <n v="616.96920863254797"/>
    <n v="505.4057229014503"/>
    <n v="49.703473996006885"/>
    <n v="13.097975753124416"/>
    <n v="0.84620772714791803"/>
    <n v="0.29724271639764299"/>
    <n v="577.52221524718277"/>
    <n v="5.470677046764246"/>
    <n v="577.8791827422807"/>
    <n v="5.5931863568994968"/>
    <n v="578.08898835447576"/>
    <n v="6.3186253741767375"/>
    <n v="558.4374329309295"/>
    <n v="24.572108988177195"/>
    <n v="573.37575781642875"/>
    <n v="8.397555278916812"/>
    <n v="576.3443449163517"/>
    <n v="9.1914767694757913"/>
    <n v="589.18501845174933"/>
    <n v="41.822225986050555"/>
    <n v="-3.5729823939252299"/>
    <n v="-3.4175327782179181"/>
    <n v="2.8925070549824738E-2"/>
    <n v="1.6176345686164648"/>
    <n v="10.671894940304425"/>
    <n v="0.99011036291033705"/>
    <n v="5.8621128355918289E-2"/>
    <n v="1.0921236253519981"/>
    <n v="10.669657252913943"/>
    <n v="0.99033236577135808"/>
    <n v="5.8792423589985224E-2"/>
    <n v="1.1270095004928617"/>
    <n v="0.75975255553530419"/>
    <n v="1.5003028390613224"/>
    <n v="9.3723722917799859E-2"/>
    <n v="0.99033236577135808"/>
    <n v="0.66008831016474523"/>
    <n v="10.658720879969071"/>
    <n v="1.1427607271503417"/>
    <n v="5.9629604230767554E-2"/>
    <n v="1.9281651142425951"/>
    <n v="0.77136177257341665"/>
    <n v="2.185526322761679"/>
    <n v="9.3819888076748459E-2"/>
    <n v="1.1427607271503417"/>
    <n v="0.4733883524259016"/>
  </r>
  <r>
    <x v="2"/>
    <s v="Y"/>
    <s v="N"/>
    <x v="0"/>
    <s v="015-10l"/>
    <n v="-7.377402879404158E-14"/>
    <n v="9999"/>
    <n v="5.8577244759242704E-2"/>
    <n v="1.2416978369230192"/>
    <n v="0.28893015014695983"/>
    <n v="1.1257784937962332"/>
    <n v="0.24604777696600416"/>
    <n v="2.5695105709682937"/>
    <n v="-6.0429565679073936E-5"/>
    <n v="-0.10745209016618454"/>
    <n v="484.73915243210899"/>
    <n v="432.36361446989048"/>
    <n v="39.399081085512996"/>
    <n v="11.571934481800062"/>
    <n v="0.92138547403585402"/>
    <n v="0.31646564467958099"/>
    <n v="582.20698720030202"/>
    <n v="9.8667290069983853"/>
    <n v="582.80513443749101"/>
    <n v="10.07717357249566"/>
    <n v="580.97720192544784"/>
    <n v="11.506209887470336"/>
    <n v="550.43755959136854"/>
    <n v="27.109358506733109"/>
    <n v="590.37247226993816"/>
    <n v="12.354760609863003"/>
    <n v="594.94124599244617"/>
    <n v="13.109476780053384"/>
    <n v="481.53099590944458"/>
    <n v="59.975686723562767"/>
    <n v="-6.0364480389508701"/>
    <n v="-5.7716678404937198"/>
    <n v="2.9872201310106261E-2"/>
    <n v="2.2360796532641034"/>
    <n v="10.579900373668456"/>
    <n v="1.7723921499172164"/>
    <n v="5.8577244759242704E-2"/>
    <n v="1.2416978369230192"/>
    <n v="10.579900373654576"/>
    <n v="1.7723921499172164"/>
    <n v="5.8577244760314902E-2"/>
    <n v="1.2416978368986755"/>
    <n v="0.76339381490435887"/>
    <n v="2.1640673398133945"/>
    <n v="9.4518848446828396E-2"/>
    <n v="1.7723921499172164"/>
    <n v="0.81900970330712908"/>
    <n v="10.603321966676832"/>
    <n v="2.0710778763016755"/>
    <n v="5.6767807661204914E-2"/>
    <n v="2.7149361137029602"/>
    <n v="0.73817859581415923"/>
    <n v="3.2162568316372897"/>
    <n v="9.431006651903151E-2"/>
    <n v="2.0710778763016755"/>
    <n v="0.54516321985867255"/>
  </r>
  <r>
    <x v="3"/>
    <s v="Y"/>
    <s v="N"/>
    <x v="0"/>
    <s v="015-11t"/>
    <n v="-1.4177668976997624E-5"/>
    <n v="100.00070675592121"/>
    <n v="5.8711097587771176E-2"/>
    <n v="1.2167743381455451"/>
    <n v="0.24328938785035889"/>
    <n v="1.1890673771648568"/>
    <n v="0.24377336924321158"/>
    <n v="2.3766487590897523"/>
    <n v="-3.969996025408717E-5"/>
    <n v="-7.0631375100914023E-2"/>
    <n v="514.05262001290998"/>
    <n v="387.530187302954"/>
    <n v="41.323746264576101"/>
    <n v="10.206245175831972"/>
    <n v="0.77875040005417695"/>
    <n v="0.32191110975995202"/>
    <n v="576.44493861354545"/>
    <n v="6.8053699771372944"/>
    <n v="576.6952578776262"/>
    <n v="6.9520184289531128"/>
    <n v="575.59023724875681"/>
    <n v="7.7508199164794336"/>
    <n v="563.05309039301324"/>
    <n v="27.484981760743011"/>
    <n v="583.3096372049996"/>
    <n v="10.10332549216259"/>
    <n v="585.57007950999662"/>
    <n v="11.057354447090345"/>
    <n v="515.47960646660704"/>
    <n v="44.414813681968148"/>
    <n v="-2.4863985120710002"/>
    <n v="-2.3784343695164978"/>
    <n v="2.9394823620803701E-2"/>
    <n v="1.9157911185391543"/>
    <n v="10.693200117263123"/>
    <n v="1.2338889390430823"/>
    <n v="5.8711097587771176E-2"/>
    <n v="1.2167743381455451"/>
    <n v="10.690503554184273"/>
    <n v="1.2341466070553844"/>
    <n v="5.8917067079618086E-2"/>
    <n v="1.2615940709910578"/>
    <n v="0.75987863132585576"/>
    <n v="1.7648618777870713"/>
    <n v="9.3540963241960581E-2"/>
    <n v="1.2341466070553844"/>
    <n v="0.69928792875443524"/>
    <n v="10.70709836908483"/>
    <n v="1.4075982187909835"/>
    <n v="5.7649518169240334E-2"/>
    <n v="2.0222772619393488"/>
    <n v="0.74237812067979148"/>
    <n v="2.3029674352689122"/>
    <n v="9.339598512397651E-2"/>
    <n v="1.4075982187909835"/>
    <n v="0.49286375924209175"/>
  </r>
  <r>
    <x v="4"/>
    <s v="Y"/>
    <s v="Mix"/>
    <x v="0"/>
    <s v="015-12l"/>
    <n v="-2.6072997576215966E-5"/>
    <n v="70.711599490368286"/>
    <n v="6.026686702349747E-2"/>
    <n v="1.1408985759022927"/>
    <n v="0.26556954317948267"/>
    <n v="1.0958464781187898"/>
    <n v="0.22577183724381114"/>
    <n v="2.9882203722462868"/>
    <n v="9.8956826239533381E-5"/>
    <n v="0.17633463057884063"/>
    <n v="584.000436337868"/>
    <n v="494.15384403257718"/>
    <n v="45.510374989688316"/>
    <n v="12.053826041170689"/>
    <n v="0.87407626625527002"/>
    <n v="0.30309499536064299"/>
    <n v="560.99175636165796"/>
    <n v="8.6634397071667752"/>
    <n v="559.79517957093594"/>
    <n v="8.8122056312377914"/>
    <n v="562.19367989737543"/>
    <n v="10.003841675099952"/>
    <n v="625.69189833815494"/>
    <n v="26.211846787844024"/>
    <n v="552.54025388861078"/>
    <n v="10.845605742031687"/>
    <n v="542.92697806477918"/>
    <n v="11.266995223931195"/>
    <n v="688.97077856482849"/>
    <n v="45.356261700148792"/>
    <n v="10.7962529812424"/>
    <n v="10.340575313239839"/>
    <n v="2.7225329303867118E-2"/>
    <n v="2.1032286609128126"/>
    <n v="11.003464177396669"/>
    <n v="1.61214373435053"/>
    <n v="6.026686702349747E-2"/>
    <n v="1.1408985759022927"/>
    <n v="10.998354299478512"/>
    <n v="1.6124781331489728"/>
    <n v="6.0644856930517521E-2"/>
    <n v="1.2158729037414453"/>
    <n v="0.7602694590386333"/>
    <n v="2.0195129729556704"/>
    <n v="9.0922693774960053E-2"/>
    <n v="1.6124781331489728"/>
    <n v="0.79844900960899534"/>
    <n v="10.973802803759375"/>
    <n v="1.8581497265577092"/>
    <n v="6.2460989866120649E-2"/>
    <n v="2.1260576788479106"/>
    <n v="0.78478914162649238"/>
    <n v="2.5912555879456489"/>
    <n v="9.1126113516220908E-2"/>
    <n v="1.8581497265577092"/>
    <n v="0.58642513337311397"/>
  </r>
  <r>
    <x v="2"/>
    <s v="Y"/>
    <s v="N"/>
    <x v="0"/>
    <s v="015-13l"/>
    <n v="-1.2001528548048565E-4"/>
    <n v="70.714920465311991"/>
    <n v="5.9482072416537135E-2"/>
    <n v="2.4679430223133307"/>
    <n v="0.26590576357318563"/>
    <n v="2.3286902655553194"/>
    <n v="0.20925203283659688"/>
    <n v="2.7002938640533838"/>
    <n v="1.4287718069779616E-4"/>
    <n v="0.25586405986666466"/>
    <n v="138.52761776065199"/>
    <n v="101.27660039129933"/>
    <n v="9.717342442334477"/>
    <n v="2.5627007479518573"/>
    <n v="0.75521928331267796"/>
    <n v="0.53986397776809003"/>
    <n v="508.32985913046576"/>
    <n v="6.2487818680840448"/>
    <n v="506.03315749048915"/>
    <n v="6.339279259303729"/>
    <n v="499.09662529442267"/>
    <n v="7.2032078955231258"/>
    <n v="646.03649566471279"/>
    <n v="67.058638633721941"/>
    <n v="584.03134998440567"/>
    <n v="17.004111593494784"/>
    <n v="562.9264059414204"/>
    <n v="17.153036543535375"/>
    <m/>
    <n v="116.89571842065936"/>
    <n v="21.315612578908471"/>
    <n v="21.315612578908471"/>
    <n v="2.8242242711323584E-2"/>
    <n v="3.0897481190128615"/>
    <n v="12.214322830593931"/>
    <n v="1.2693534568092466"/>
    <n v="5.9482072416537135E-2"/>
    <n v="2.4679430223133307"/>
    <n v="12.18812773580269"/>
    <n v="1.2783809904450008"/>
    <n v="6.1220858064455735E-2"/>
    <n v="3.1211488203401165"/>
    <n v="0.69257002329662887"/>
    <n v="3.3728071269258257"/>
    <n v="8.2047056092339324E-2"/>
    <n v="1.2783809904450008"/>
    <n v="0.37902582102588006"/>
    <n v="12.422615856268241"/>
    <n v="1.4998399076303328"/>
    <n v="4.5655937161429856E-2"/>
    <n v="4.8296560443514061"/>
    <n v="0.50674034266636181"/>
    <n v="5.2041238634391291"/>
    <n v="8.049834363149988E-2"/>
    <n v="1.4998399076303328"/>
    <n v="0.38479026467998773"/>
  </r>
  <r>
    <x v="4"/>
    <s v="Y"/>
    <s v="N"/>
    <x v="0"/>
    <s v="015-14l"/>
    <n v="-1.3252065243573552E-5"/>
    <n v="100.00066197606286"/>
    <n v="5.9564481846831996E-2"/>
    <n v="1.1535681255966406"/>
    <n v="0.24984012824925564"/>
    <n v="1.1381060219963302"/>
    <n v="0.25315611529139193"/>
    <n v="2.3084454670796206"/>
    <n v="-1.7763713366473564E-6"/>
    <n v="-3.1571633115031169E-3"/>
    <n v="535.68106195563905"/>
    <n v="426.3582141456194"/>
    <n v="43.926371784164083"/>
    <n v="11.083727258829128"/>
    <n v="0.82218332230101798"/>
    <n v="0.31522645992522003"/>
    <n v="587.86804984535661"/>
    <n v="6.9282537027088074"/>
    <n v="587.7534795993098"/>
    <n v="7.075479777557514"/>
    <n v="589.02688494057043"/>
    <n v="7.943028154247858"/>
    <n v="593.80512453064341"/>
    <n v="25.872908811098739"/>
    <n v="579.09196116934822"/>
    <n v="9.8119219546957144"/>
    <n v="578.10955938284928"/>
    <n v="10.630199633235765"/>
    <n v="653.62507274706707"/>
    <n v="41.857490353754663"/>
    <n v="1.0461100422963401"/>
    <n v="0.99983554200203173"/>
    <n v="2.9014934601289122E-2"/>
    <n v="1.8652081540479724"/>
    <n v="10.475815352311505"/>
    <n v="1.232867949738879"/>
    <n v="5.9564481846831996E-2"/>
    <n v="1.1535681255966406"/>
    <n v="10.473348560981689"/>
    <n v="1.2330928079470234"/>
    <n v="5.9756802821369207E-2"/>
    <n v="1.193766425554202"/>
    <n v="0.78668898729348713"/>
    <n v="1.7162739151403341"/>
    <n v="9.5480446790960988E-2"/>
    <n v="1.2330928079470234"/>
    <n v="0.71847086707380126"/>
    <n v="10.451789823448181"/>
    <n v="1.4110463028670612"/>
    <n v="6.143760871772503E-2"/>
    <n v="1.9506492623858536"/>
    <n v="0.81048486748131221"/>
    <n v="2.261760071348009"/>
    <n v="9.5677392761624347E-2"/>
    <n v="1.4110463028670612"/>
    <n v="0.51725385330479101"/>
  </r>
  <r>
    <x v="3"/>
    <s v="Y"/>
    <s v="N"/>
    <x v="0"/>
    <s v="015-15l"/>
    <n v="5.784182991742034E-5"/>
    <n v="50.001445712329016"/>
    <n v="5.8260178417156992E-2"/>
    <n v="1.2094659402934107"/>
    <n v="0.25689060719893031"/>
    <n v="1.1712147610241888"/>
    <n v="0.24235540466596095"/>
    <n v="2.1904233559296906"/>
    <n v="-7.6991589324067663E-5"/>
    <n v="-0.13693984188506111"/>
    <n v="519.12487663846503"/>
    <n v="418.34657833186355"/>
    <n v="41.982202983987271"/>
    <n v="10.997045377664517"/>
    <n v="0.83246254391653696"/>
    <n v="0.31990344947233001"/>
    <n v="578.679977085578"/>
    <n v="8.7700697753743704"/>
    <n v="580.00852680318292"/>
    <n v="8.9641597083516764"/>
    <n v="579.40857959402047"/>
    <n v="10.066661894829231"/>
    <n v="506.6476408732151"/>
    <n v="31.475535391006947"/>
    <n v="573.2480166626118"/>
    <n v="11.533468050129589"/>
    <n v="584.48043486753704"/>
    <n v="12.290337137852065"/>
    <n v="547.3391734498332"/>
    <n v="48.615010910545514"/>
    <n v="-14.8663646072698"/>
    <n v="-14.217442340837522"/>
    <n v="2.9339330268059571E-2"/>
    <n v="2.1333296544590223"/>
    <n v="10.636386153182405"/>
    <n v="1.5837336893507692"/>
    <n v="5.8260178417156992E-2"/>
    <n v="1.2094659402934107"/>
    <n v="10.647340076265584"/>
    <n v="1.5845706198932121"/>
    <n v="5.7418329899575578E-2"/>
    <n v="1.4309682737884435"/>
    <n v="0.74355090284015879"/>
    <n v="2.1350724226634177"/>
    <n v="9.392017093819896E-2"/>
    <n v="1.5845706198932121"/>
    <n v="0.74216246862320645"/>
    <n v="10.633341189356493"/>
    <n v="1.8166520045426122"/>
    <n v="5.8494194875321606E-2"/>
    <n v="2.2255577831443589"/>
    <n v="0.75848027875586599"/>
    <n v="2.628000030238657"/>
    <n v="9.4043817666732643E-2"/>
    <n v="1.8166520045426122"/>
    <n v="0.55020145351819505"/>
  </r>
  <r>
    <x v="2"/>
    <s v="Y"/>
    <s v="N"/>
    <x v="0"/>
    <s v="015-16l"/>
    <n v="2.9524447969615146E-4"/>
    <n v="50.007380317227778"/>
    <n v="6.3196268886488979E-2"/>
    <n v="2.6590176510489325"/>
    <n v="0.2908346145368369"/>
    <n v="2.5125641757562165"/>
    <n v="0.15662012188270513"/>
    <n v="2.4436172779030105"/>
    <n v="6.4929776578369499E-4"/>
    <n v="1.1783903452631572"/>
    <n v="146.02074603832099"/>
    <n v="107.28680291154193"/>
    <n v="7.1519378791363799"/>
    <n v="1.9451124695128803"/>
    <n v="0.75898302408712404"/>
    <n v="0.51922760053234696"/>
    <n v="359.72875367499614"/>
    <n v="4.5838453790611631"/>
    <n v="357.4680823154431"/>
    <n v="4.5653083930530745"/>
    <n v="351.50884018358454"/>
    <n v="5.3224985698390741"/>
    <n v="562.64441566764754"/>
    <n v="101.33898182410991"/>
    <n v="425.1531575716578"/>
    <n v="14.722459444257474"/>
    <n v="404.91660268217925"/>
    <n v="13.312160671813979"/>
    <m/>
    <n v="168.51758776167011"/>
    <n v="36.064636267982287"/>
    <n v="36.064636267982287"/>
    <n v="2.0235261181066333E-2"/>
    <n v="3.3206711478990152"/>
    <n v="17.331490635813196"/>
    <n v="1.2821377826397564"/>
    <n v="6.3196268886488979E-2"/>
    <n v="2.6590176510489325"/>
    <n v="17.424858259872337"/>
    <n v="1.3101345803802069"/>
    <n v="5.8906016441655447E-2"/>
    <n v="4.6512610821922085"/>
    <n v="0.46611349291026932"/>
    <n v="4.8322543676242722"/>
    <n v="5.7389276003633125E-2"/>
    <n v="1.3101345803802069"/>
    <n v="0.27112285089088162"/>
    <n v="17.843809931403069"/>
    <n v="1.555844048750916"/>
    <n v="3.9655141728239758E-2"/>
    <n v="6.4948223695519038"/>
    <n v="0.30641723726653558"/>
    <n v="6.9371693496421711"/>
    <n v="5.604184329716011E-2"/>
    <n v="1.555844048750916"/>
    <n v="0.387386854226204"/>
  </r>
  <r>
    <x v="2"/>
    <s v="Y"/>
    <s v="N"/>
    <x v="1"/>
    <s v="016-1r"/>
    <n v="1.5549869872428257E-4"/>
    <n v="100.00777325760473"/>
    <n v="5.1671864342732785E-2"/>
    <n v="4.222197097647765"/>
    <n v="0.28834202178836865"/>
    <n v="3.6289651537514032"/>
    <n v="0.12556594051577902"/>
    <n v="4.350451523037326"/>
    <n v="-8.4708915469675886E-5"/>
    <n v="-0.15418084959974621"/>
    <n v="87.476510328309601"/>
    <n v="57.633389588527102"/>
    <n v="3.8732760445819192"/>
    <n v="1.1385150330342289"/>
    <n v="0.68058603642858595"/>
    <n v="0.69549054457992898"/>
    <n v="322.6257909557462"/>
    <n v="8.3807134804740908"/>
    <n v="324.00537858618497"/>
    <n v="8.489071466625175"/>
    <n v="310.91977607728273"/>
    <n v="9.5650832856714132"/>
    <n v="165.1139695394528"/>
    <n v="149.99539476852655"/>
    <n v="427.13688618998816"/>
    <n v="21.154006328673958"/>
    <n v="440.80335218803702"/>
    <n v="21.594426546681106"/>
    <e v="#NUM!"/>
    <e v="#NUM!"/>
    <n v="-95.395817722532001"/>
    <n v="-95.395817722532001"/>
    <n v="2.2048294798540091E-2"/>
    <n v="4.9524932170553431"/>
    <n v="19.430109441420786"/>
    <n v="2.6480325691235604"/>
    <n v="5.1671864342732785E-2"/>
    <n v="4.222197097647765"/>
    <n v="19.485258008510826"/>
    <n v="2.6632027215894922"/>
    <n v="4.9385319677499345E-2"/>
    <n v="6.4178719026249125"/>
    <n v="0.3494563877039476"/>
    <n v="6.9485054864182123"/>
    <n v="5.1320849822117681E-2"/>
    <n v="2.6632027215894922"/>
    <n v="0.3832770553027669"/>
    <n v="20.23738727869781"/>
    <n v="3.1511685776335834"/>
    <n v="1.8200879880466255E-2"/>
    <n v="17.719044624363672"/>
    <n v="0.12400500535759701"/>
    <n v="18.320055946753563"/>
    <n v="4.9413493265141772E-2"/>
    <n v="3.1511685776335834"/>
    <n v="0.27360123144573745"/>
  </r>
  <r>
    <x v="3"/>
    <s v="Y"/>
    <s v="N"/>
    <x v="0"/>
    <s v="016-3r"/>
    <n v="3.2146846430524161E-5"/>
    <n v="70.711814495396368"/>
    <n v="5.8912706772331062E-2"/>
    <n v="1.2694402018463951"/>
    <n v="0.23903099984821177"/>
    <n v="1.2710803682046179"/>
    <n v="0.24462453112685359"/>
    <n v="2.6613963462647399"/>
    <n v="-1.4415244795059737E-5"/>
    <n v="-2.5660874094166355E-2"/>
    <n v="439.664442893196"/>
    <n v="325.27908295436276"/>
    <n v="34.954496690638791"/>
    <n v="8.4532726419412043"/>
    <n v="0.76424941366814503"/>
    <n v="0.333493894137672"/>
    <n v="570.16328005135085"/>
    <n v="5.5803699743488675"/>
    <n v="570.61581290860761"/>
    <n v="5.7063995211449079"/>
    <n v="569.72418220365876"/>
    <n v="6.3659772846044538"/>
    <n v="545.51635423061339"/>
    <n v="30.585053699561591"/>
    <n v="573.76192064319741"/>
    <n v="9.6334410467566673"/>
    <n v="577.9226450188728"/>
    <n v="10.619535894924114"/>
    <n v="520.73928059260038"/>
    <n v="44.15101364025589"/>
    <n v="-4.7209739233551096"/>
    <n v="-4.5180910947205462"/>
    <n v="2.9005418738965227E-2"/>
    <n v="1.8639311326421704"/>
    <n v="10.807441276084422"/>
    <n v="1.0218508036136742"/>
    <n v="5.8912706772331062E-2"/>
    <n v="1.2694402018463951"/>
    <n v="10.813629403981988"/>
    <n v="1.0226526089031986"/>
    <n v="5.8445410973309221E-2"/>
    <n v="1.3997272240314769"/>
    <n v="0.7452126352723395"/>
    <n v="1.7335093481695976"/>
    <n v="9.2475889698213826E-2"/>
    <n v="1.0226526089031986"/>
    <n v="0.58993198391633228"/>
    <n v="10.82233769102678"/>
    <n v="1.1674821236408928"/>
    <n v="5.7787805632878629E-2"/>
    <n v="2.0120722630574535"/>
    <n v="0.73623489380373919"/>
    <n v="2.24929474772309"/>
    <n v="9.2401478178706142E-2"/>
    <n v="1.1674821236408928"/>
    <n v="0.45199852739902285"/>
  </r>
  <r>
    <x v="2"/>
    <s v="Y"/>
    <s v="N"/>
    <x v="0"/>
    <s v="016-4t"/>
    <n v="2.7826317672669312E-4"/>
    <n v="40.830508453450562"/>
    <n v="6.2826718801711284E-2"/>
    <n v="2.1464886167228214"/>
    <n v="0.31180640877814553"/>
    <n v="1.9664395115581306"/>
    <n v="0.21445725386125927"/>
    <n v="2.8367715224458698"/>
    <n v="3.8841782610688028E-4"/>
    <n v="0.69614847935650559"/>
    <n v="169.22525658337801"/>
    <n v="149.64725830334069"/>
    <n v="11.654110952378277"/>
    <n v="3.5212643213988328"/>
    <n v="0.913490225681448"/>
    <n v="1.34702829583101"/>
    <n v="498.09836750114789"/>
    <n v="11.815886572882174"/>
    <n v="497.14720732125596"/>
    <n v="11.963475610127677"/>
    <n v="493.08469154249048"/>
    <n v="13.923295537940032"/>
    <n v="558.08937093723466"/>
    <n v="79.470967318708986"/>
    <n v="531.20701179825039"/>
    <n v="19.432378028687921"/>
    <n v="523.97795354939183"/>
    <n v="18.800890984466502"/>
    <m/>
    <n v="148.09733812552619"/>
    <n v="10.749354236103812"/>
    <n v="10.749354236103812"/>
    <n v="2.626275376762166E-2"/>
    <n v="3.634816907493108"/>
    <n v="12.386405386965739"/>
    <n v="2.4565165250924967"/>
    <n v="6.2826718801711284E-2"/>
    <n v="2.1464886167228214"/>
    <n v="12.448488730041936"/>
    <n v="2.4650264925859617"/>
    <n v="5.8783038992352814E-2"/>
    <n v="3.6447526665516343"/>
    <n v="0.65108348427113072"/>
    <n v="4.4000656369520099"/>
    <n v="8.033103629573124E-2"/>
    <n v="2.4650264925859617"/>
    <n v="0.56022493662015505"/>
    <n v="12.580018464490058"/>
    <n v="2.9330819452537007"/>
    <n v="5.021610130561479E-2"/>
    <n v="6.3819344118470758"/>
    <n v="0.55038043605119846"/>
    <n v="7.0742195324397263"/>
    <n v="7.9491139287491963E-2"/>
    <n v="2.9330819452537007"/>
    <n v="0.43178551978539881"/>
  </r>
  <r>
    <x v="3"/>
    <s v="Y"/>
    <s v="N"/>
    <x v="0"/>
    <s v="016-5r"/>
    <n v="-1.49751366125235E-5"/>
    <n v="100.00074837902461"/>
    <n v="5.881512766913885E-2"/>
    <n v="1.2262130601530703"/>
    <n v="0.2466442515151745"/>
    <n v="1.2142946733789513"/>
    <n v="0.2544916511414782"/>
    <n v="2.3031101337928042"/>
    <n v="-5.0835328327071596E-5"/>
    <n v="-9.0366985521656423E-2"/>
    <n v="463.27395168698899"/>
    <n v="360.49998488097458"/>
    <n v="37.897291094132733"/>
    <n v="9.5023404859116791"/>
    <n v="0.80383644067615601"/>
    <n v="0.32601488750725299"/>
    <n v="586.041422710083"/>
    <n v="5.9388797244684239"/>
    <n v="586.39842106850494"/>
    <n v="6.0754615795134299"/>
    <n v="586.4426262203034"/>
    <n v="6.8085525139478094"/>
    <n v="567.32124030969806"/>
    <n v="27.772571991955942"/>
    <n v="582.92613849344139"/>
    <n v="9.5385946710829721"/>
    <n v="586.05519405166297"/>
    <n v="10.521880331435099"/>
    <n v="588.74319605421351"/>
    <n v="43.66926852924248"/>
    <n v="-3.4520877655320099"/>
    <n v="-3.2997499600342195"/>
    <n v="2.9419530465641275E-2"/>
    <n v="1.8215278991721922"/>
    <n v="10.510301146042956"/>
    <n v="1.0598162454714548"/>
    <n v="5.881512766913885E-2"/>
    <n v="1.2262130601530703"/>
    <n v="10.507504004009599"/>
    <n v="1.0601503452617107"/>
    <n v="5.9032648293239252E-2"/>
    <n v="1.2757144972101415"/>
    <n v="0.77462940233626121"/>
    <n v="1.6587242787608338"/>
    <n v="9.5170080317685923E-2"/>
    <n v="1.0601503452617107"/>
    <n v="0.63913596661990524"/>
    <n v="10.499983796980157"/>
    <n v="1.2146015037098601"/>
    <n v="5.9617459542328541E-2"/>
    <n v="2.0131713709380539"/>
    <n v="0.78286361966200213"/>
    <n v="2.2729279916454903"/>
    <n v="9.5238242204488399E-2"/>
    <n v="1.2146015037098601"/>
    <n v="0.46882998012772903"/>
  </r>
  <r>
    <x v="3"/>
    <s v="Y"/>
    <s v="N"/>
    <x v="0"/>
    <s v="016-6l"/>
    <n v="4.6577576423776032E-5"/>
    <n v="57.736371169381769"/>
    <n v="5.9632077711800777E-2"/>
    <n v="1.2406624702410185"/>
    <n v="0.23221297175052724"/>
    <n v="1.2654545637043702"/>
    <n v="0.25418575549095945"/>
    <n v="2.4631408556431129"/>
    <n v="-6.6375073040643415E-7"/>
    <n v="-1.1794713347589385E-3"/>
    <n v="478.00001027759299"/>
    <n v="351.97260007532486"/>
    <n v="39.32709886226769"/>
    <n v="9.2218057857409015"/>
    <n v="0.760643698870762"/>
    <n v="0.33398597157680099"/>
    <n v="589.15234399494557"/>
    <n v="5.7641919265611099"/>
    <n v="589.62536595649135"/>
    <n v="5.8967303475170727"/>
    <n v="590.47705128326595"/>
    <n v="6.5604962358930363"/>
    <n v="564.47206437388445"/>
    <n v="30.934647012669746"/>
    <n v="578.19774396641003"/>
    <n v="9.7911496763976036"/>
    <n v="582.5829638319309"/>
    <n v="10.736277488187566"/>
    <n v="633.83609466604503"/>
    <n v="40.246466453438963"/>
    <n v="-4.5752489126790197"/>
    <n v="-4.3722765356752546"/>
    <n v="2.9242703124753966E-2"/>
    <n v="1.8695617410138952"/>
    <n v="10.440812153458959"/>
    <n v="1.0226590230648556"/>
    <n v="5.9632077711800777E-2"/>
    <n v="1.2406624702410185"/>
    <n v="10.449460899619815"/>
    <n v="1.0237767573825309"/>
    <n v="5.8955458420394763E-2"/>
    <n v="1.420278493458522"/>
    <n v="0.77791368235080727"/>
    <n v="1.7508026296351906"/>
    <n v="9.5698716862645347E-2"/>
    <n v="1.0237767573825309"/>
    <n v="0.58474709830419447"/>
    <n v="10.424930504107722"/>
    <n v="1.162711725466437"/>
    <n v="6.0874550335060944E-2"/>
    <n v="1.8694216569626911"/>
    <n v="0.80512603867152577"/>
    <n v="2.1093702983553535"/>
    <n v="9.5923900845763077E-2"/>
    <n v="1.162711725466437"/>
    <n v="0.47023853891335043"/>
  </r>
  <r>
    <x v="3"/>
    <s v="Y"/>
    <s v="N"/>
    <x v="0"/>
    <s v="016-7l"/>
    <n v="-1.594259844094462E-5"/>
    <n v="100.00079750174797"/>
    <n v="6.0882890509489439E-2"/>
    <n v="4.5797343630379999"/>
    <n v="0.24716486908629282"/>
    <n v="2.9178779393492071"/>
    <n v="0.23982954006278415"/>
    <n v="4.4345170341487057"/>
    <n v="1.3763197127837664E-4"/>
    <n v="0.24520585287975621"/>
    <n v="470.55615021166199"/>
    <n v="351.52517546174136"/>
    <n v="36.807156038007037"/>
    <n v="9.0156042827087557"/>
    <n v="0.77169431552141099"/>
    <n v="0.33074568248927599"/>
    <n v="563.27858310258887"/>
    <n v="20.929147016578369"/>
    <n v="561.80306499129267"/>
    <n v="21.337822652398525"/>
    <n v="560.7343360791981"/>
    <n v="23.768928381982452"/>
    <n v="642.27776616707081"/>
    <n v="98.39403268900486"/>
    <n v="583.86627303351645"/>
    <n v="28.039840254159177"/>
    <n v="570.45318205276089"/>
    <n v="32.433655347208365"/>
    <n v="500.58206225047093"/>
    <n v="136.78572975873945"/>
    <n v="12.8438975504707"/>
    <n v="12.299847079547277"/>
    <n v="2.862521831366549E-2"/>
    <n v="5.7662047594662962"/>
    <n v="10.954842357183749"/>
    <n v="3.8801858647426322"/>
    <n v="6.0882890509489439E-2"/>
    <n v="4.5797343630379999"/>
    <n v="10.951731691023511"/>
    <n v="3.880289764164814"/>
    <n v="6.1113882378300087E-2"/>
    <n v="4.5767541425694356"/>
    <n v="0.76941093336194721"/>
    <n v="6.0002772548782044"/>
    <n v="9.130976070383838E-2"/>
    <n v="3.880289764164814"/>
    <n v="0.64668507792871599"/>
    <n v="11.00362627517613"/>
    <n v="4.4259230821762694"/>
    <n v="5.7260293996559838E-2"/>
    <n v="6.2122141705542413"/>
    <n v="0.71749522737396842"/>
    <n v="7.0749331222339187"/>
    <n v="9.0879131569196581E-2"/>
    <n v="4.4259230821762694"/>
    <n v="0.49582856989387597"/>
  </r>
  <r>
    <x v="4"/>
    <s v="Y"/>
    <m/>
    <x v="0"/>
    <s v="016-8r"/>
    <n v="-4.2395777150436936E-21"/>
    <n v="9999"/>
    <n v="6.0324149974680018E-2"/>
    <n v="3.2877874262523163"/>
    <n v="0.24585852480731746"/>
    <n v="3.5424707602153043"/>
    <n v="0.23206014634580036"/>
    <n v="3.5151291068307682"/>
    <n v="1.4208236024652507E-4"/>
    <n v="0.25369579679816195"/>
    <n v="195.814675365748"/>
    <n v="146.79546449520393"/>
    <n v="14.65458133564152"/>
    <n v="3.5678671926886731"/>
    <n v="0.77440423982680995"/>
    <n v="0.45899540082402901"/>
    <n v="539.81610505108301"/>
    <n v="6.0573519533596309"/>
    <n v="538.50225270345743"/>
    <n v="6.2795578964363967"/>
    <n v="538.19155541342207"/>
    <n v="7.2760608553331725"/>
    <n v="614.25023661491889"/>
    <n v="71.013747946063404"/>
    <n v="552.86209254682649"/>
    <n v="20.498994836011448"/>
    <n v="540.99785290083764"/>
    <n v="23.186624677711794"/>
    <n v="519.99420482008759"/>
    <n v="112.72209881888826"/>
    <n v="12.631316264194799"/>
    <n v="12.117884068557487"/>
    <n v="2.7127292035131756E-2"/>
    <n v="4.3435133570389501"/>
    <n v="11.448848232049835"/>
    <n v="1.1697519430994558"/>
    <n v="6.0324149974680018E-2"/>
    <n v="3.2877874262523163"/>
    <n v="11.448848232049835"/>
    <n v="1.1697519430994558"/>
    <n v="6.0324149974680025E-2"/>
    <n v="3.2877874262523159"/>
    <n v="0.72649175095403395"/>
    <n v="3.4896798948625332"/>
    <n v="8.7345030673094792E-2"/>
    <n v="1.1697519430994558"/>
    <n v="0.33520322159678634"/>
    <n v="11.484874184597961"/>
    <n v="1.4091664260480785"/>
    <n v="5.7768188379399905E-2"/>
    <n v="5.1363751608747288"/>
    <n v="0.69352765086738166"/>
    <n v="5.6307297658520561"/>
    <n v="8.7071045265874281E-2"/>
    <n v="1.4091664260480785"/>
    <n v="0.46054529324652971"/>
  </r>
  <r>
    <x v="3"/>
    <s v="Y"/>
    <s v="N"/>
    <x v="0"/>
    <s v="016-9t"/>
    <n v="1.1169263522870402E-4"/>
    <n v="35.357313248708401"/>
    <n v="5.9230560404062653E-2"/>
    <n v="1.1839465429484832"/>
    <n v="0.23949744466627551"/>
    <n v="1.1869845040082487"/>
    <n v="0.2449529339882775"/>
    <n v="2.1973373128551263"/>
    <n v="-2.5455641836478384E-5"/>
    <n v="-4.5242577843310407E-2"/>
    <n v="530.87448577579801"/>
    <n v="393.05698918087438"/>
    <n v="43.559847295601166"/>
    <n v="10.571004870186892"/>
    <n v="0.764828374131582"/>
    <n v="0.317934067491009"/>
    <n v="586.74025524091462"/>
    <n v="5.8670121810353448"/>
    <n v="588.10988112374434"/>
    <n v="6.0000374946220898"/>
    <n v="586.93119159281628"/>
    <n v="6.6795393585867693"/>
    <n v="513.79592543831427"/>
    <n v="34.644865784017199"/>
    <n v="585.1721147710681"/>
    <n v="9.9841494794356933"/>
    <n v="597.78810077772084"/>
    <n v="10.571057539954618"/>
    <n v="524.38715986064676"/>
    <n v="41.840314878878537"/>
    <n v="-14.854313267391801"/>
    <n v="-14.197140574902818"/>
    <n v="3.0017267110499235E-2"/>
    <n v="1.7946410401443267"/>
    <n v="10.473578934385062"/>
    <n v="1.0437630358909062"/>
    <n v="5.9230560404062653E-2"/>
    <n v="1.1839465429484832"/>
    <n v="10.494411651846935"/>
    <n v="1.0461296973806091"/>
    <n v="5.7605346943466876E-2"/>
    <n v="1.5769821755269009"/>
    <n v="0.75684330861629301"/>
    <n v="1.8924217621004049"/>
    <n v="9.5288810194900986E-2"/>
    <n v="1.0461296973806091"/>
    <n v="0.55279944372416567"/>
    <n v="10.490839961046694"/>
    <n v="1.1906389446093"/>
    <n v="5.7883983658828797E-2"/>
    <n v="1.9079548263021311"/>
    <n v="0.7607630748837606"/>
    <n v="2.1445803771794334"/>
    <n v="9.5321252036355331E-2"/>
    <n v="1.1906389446093"/>
    <n v="0.46536676653087683"/>
  </r>
  <r>
    <x v="3"/>
    <s v="Y"/>
    <s v="N"/>
    <x v="0"/>
    <s v="016-10t"/>
    <n v="1.3340575105074766E-5"/>
    <n v="100.0006679015365"/>
    <n v="5.7931485894714377E-2"/>
    <n v="1.1646976089967453"/>
    <n v="0.2788865678572337"/>
    <n v="1.0862955559469771"/>
    <n v="0.24471752055021126"/>
    <n v="2.5327849449017563"/>
    <n v="-1.1814049232626033E-4"/>
    <n v="-0.2099332140663836"/>
    <n v="543.83575341451206"/>
    <n v="481.39714808673432"/>
    <n v="44.75673080015482"/>
    <n v="12.77681178050975"/>
    <n v="0.91439970772676804"/>
    <n v="0.30130443342188701"/>
    <n v="588.47543952308672"/>
    <n v="5.8401529327531874"/>
    <n v="589.78963706244258"/>
    <n v="5.9830386435823888"/>
    <n v="589.75078177460443"/>
    <n v="6.8354483179478374"/>
    <n v="518.82423145261521"/>
    <n v="26.6977823024183"/>
    <n v="579.91819155748738"/>
    <n v="8.8210940863043934"/>
    <n v="590.05030240552719"/>
    <n v="9.6689316922605464"/>
    <n v="587.74068941333144"/>
    <n v="49.965208713039722"/>
    <n v="-14.048051236205101"/>
    <n v="-13.42481785699573"/>
    <n v="2.9623023566939688E-2"/>
    <n v="1.6626971647929738"/>
    <n v="10.459558085133006"/>
    <n v="1.0381368596769571"/>
    <n v="5.7931485894714377E-2"/>
    <n v="1.1646976089967453"/>
    <n v="10.462038208204701"/>
    <n v="1.0384076195838365"/>
    <n v="5.7737402378305699E-2"/>
    <n v="1.2162871582870252"/>
    <n v="0.76092563241430555"/>
    <n v="1.5992638418421448"/>
    <n v="9.5583669271611396E-2"/>
    <n v="1.0384076195838365"/>
    <n v="0.64930350603545539"/>
    <n v="10.438365613690607"/>
    <n v="1.2128658628721216"/>
    <n v="5.9589915440359062E-2"/>
    <n v="2.3030286985991841"/>
    <n v="0.78712107287567534"/>
    <n v="2.601275254933693"/>
    <n v="9.5800438211173011E-2"/>
    <n v="1.2128658628721216"/>
    <n v="0.46493459060762055"/>
  </r>
  <r>
    <x v="5"/>
    <s v="Y"/>
    <s v="Y"/>
    <x v="0"/>
    <s v="016-11t"/>
    <n v="-2.1568165774299571E-12"/>
    <n v="9999"/>
    <n v="5.4940023308647015E-2"/>
    <n v="3.5108105378229801"/>
    <n v="0.12508956311132524"/>
    <n v="4.5460856773045277"/>
    <n v="0.23872517064687021"/>
    <n v="2.6173362148196988"/>
    <n v="-3.106841555057671E-4"/>
    <n v="-0.55243921606027635"/>
    <n v="68.560353943933706"/>
    <n v="28.041503113973612"/>
    <n v="5.5710528437453632"/>
    <n v="0.76504143502772881"/>
    <n v="0.42250179659840797"/>
    <n v="0.92798266304110699"/>
    <n v="579.59770573242645"/>
    <n v="16.392665325910425"/>
    <n v="582.65917968128633"/>
    <n v="16.841936990380571"/>
    <n v="581.14986875159821"/>
    <n v="17.540602432649372"/>
    <n v="408.77701331274113"/>
    <n v="78.542619047389124"/>
    <n v="555.27231247388193"/>
    <n v="30.136177393383946"/>
    <n v="606.28723092418136"/>
    <n v="40.051983532274271"/>
    <n v="499.52467863840718"/>
    <n v="87.628695202959008"/>
    <n v="-43.703647676597797"/>
    <n v="-41.788233402692924"/>
    <n v="3.0450474743462186E-2"/>
    <n v="6.705680969201036"/>
    <n v="10.629713202673775"/>
    <n v="2.9573339685510791"/>
    <n v="5.4940023308647015E-2"/>
    <n v="3.5108105378229801"/>
    <n v="10.629713202266114"/>
    <n v="2.957333968551104"/>
    <n v="5.4940023340132871E-2"/>
    <n v="3.5108105356809847"/>
    <n v="0.7126373284015417"/>
    <n v="4.5903828619184726"/>
    <n v="9.4075915405395255E-2"/>
    <n v="2.957333968551104"/>
    <n v="0.64424560162180822"/>
    <n v="10.600027494441397"/>
    <n v="3.1563511859419715"/>
    <n v="5.7232805679498656E-2"/>
    <n v="3.9789936577641529"/>
    <n v="0.74445648855414881"/>
    <n v="4.5829972241373769"/>
    <n v="9.4339377942594504E-2"/>
    <n v="3.1563511859419715"/>
    <n v="0.52310583324974858"/>
  </r>
  <r>
    <x v="3"/>
    <s v="Y"/>
    <s v="N"/>
    <x v="0"/>
    <s v="016-12t"/>
    <n v="3.4706607196591885E-5"/>
    <n v="100.00173519030098"/>
    <n v="5.9083072821200677E-2"/>
    <n v="1.8731290107559664"/>
    <n v="5.9739260956461079E-2"/>
    <n v="3.5968008695545959"/>
    <n v="0.23223947950900445"/>
    <n v="1.6126070614980317"/>
    <n v="-4.5529674169647432E-6"/>
    <n v="-8.1040793650095089E-3"/>
    <n v="220.306846752902"/>
    <n v="43.029272942317206"/>
    <n v="17.546988221622847"/>
    <n v="1.0613657951675073"/>
    <n v="0.201760588036868"/>
    <n v="0.71493697278883195"/>
    <n v="571.2314023898108"/>
    <n v="6.2714970888037422"/>
    <n v="571.61363036921819"/>
    <n v="6.4273058003236025"/>
    <n v="572.28356222184266"/>
    <n v="6.4793441172523618"/>
    <n v="550.48996388440423"/>
    <n v="45.357363678043399"/>
    <n v="535.59077388351795"/>
    <n v="23.483385647264512"/>
    <n v="548.92751986626558"/>
    <n v="33.831077576942931"/>
    <n v="607.90756572625719"/>
    <n v="41.566446827006729"/>
    <n v="-3.93731004874518"/>
    <n v="-3.767814104920177"/>
    <n v="2.7530333950454011E-2"/>
    <n v="6.2471913142824329"/>
    <n v="10.78583489202717"/>
    <n v="1.1455858571529141"/>
    <n v="5.9083072821200677E-2"/>
    <n v="1.8731290107559664"/>
    <n v="10.792502091445682"/>
    <n v="1.1472524173430139"/>
    <n v="5.857865080664703E-2"/>
    <n v="2.077534984704398"/>
    <n v="0.74837366764304991"/>
    <n v="2.3732550899071283"/>
    <n v="9.2656919732507323E-2"/>
    <n v="1.1472524173430139"/>
    <n v="0.48340880936988062"/>
    <n v="10.771767671294365"/>
    <n v="1.1831900876354047"/>
    <n v="6.0147360144226995E-2"/>
    <n v="1.9223991474126558"/>
    <n v="0.76989388090743083"/>
    <n v="2.1815476370714322"/>
    <n v="9.283527370023914E-2"/>
    <n v="1.1831900876354047"/>
    <n v="0.47719746532154061"/>
  </r>
  <r>
    <x v="5"/>
    <s v="Y"/>
    <s v="Y"/>
    <x v="0"/>
    <s v="016-13l"/>
    <n v="-7.082881126399597E-4"/>
    <n v="57.755469359132015"/>
    <n v="5.8299910024532046E-2"/>
    <n v="5.1059564030126152"/>
    <n v="6.2366272543409339E-2"/>
    <n v="17.354286530995893"/>
    <n v="0.24544516819571774"/>
    <n v="1.9649596368068072"/>
    <n v="-5.7559886397832035E-5"/>
    <n v="-0.10246353903303004"/>
    <n v="30.216728627695101"/>
    <n v="6.9106319343091336"/>
    <n v="2.4045496985169654"/>
    <n v="0.15650891546889761"/>
    <n v="0.23624935962122601"/>
    <n v="1.72248366869446"/>
    <n v="577.44637360962236"/>
    <n v="12.356563670750955"/>
    <n v="571.12478745635417"/>
    <n v="11.966238031803847"/>
    <n v="573.43554615120695"/>
    <n v="12.318247199917039"/>
    <n v="881.86608043686601"/>
    <n v="196.43018247580724"/>
    <n v="692.4856261410722"/>
    <n v="167.71996496359267"/>
    <n v="504.56132244421656"/>
    <n v="106.56967839675467"/>
    <n v="692.74085800195917"/>
    <n v="101.61455336430187"/>
    <n v="36.076396296670097"/>
    <n v="34.519947368475457"/>
    <n v="2.5277360327947029E-2"/>
    <n v="21.385977536830243"/>
    <n v="10.805667904258001"/>
    <n v="2.1183991658829351"/>
    <n v="5.8299910024532046E-2"/>
    <n v="5.1059564030126152"/>
    <n v="10.671122311998955"/>
    <n v="2.2371346594131931"/>
    <n v="6.8469403269109094E-2"/>
    <n v="9.4972682216149931"/>
    <n v="0.88468307706767535"/>
    <n v="9.7571960704725917"/>
    <n v="9.3710855406049245E-2"/>
    <n v="2.2371346594131931"/>
    <n v="0.22928048624371214"/>
    <n v="10.749153381024236"/>
    <n v="2.2451082361232779"/>
    <n v="6.257150341229413E-2"/>
    <n v="4.7660932087732215"/>
    <n v="0.80260822268265508"/>
    <n v="5.2599348615149051"/>
    <n v="9.3030582461063993E-2"/>
    <n v="2.2451082361232779"/>
    <n v="0.42305348151940431"/>
  </r>
  <r>
    <x v="5"/>
    <s v="Y"/>
    <s v="Y"/>
    <x v="0"/>
    <s v="016-14t"/>
    <n v="4.2659993435266924E-4"/>
    <n v="70.725758918947605"/>
    <n v="6.4100164730554673E-2"/>
    <n v="4.6722624572503957"/>
    <n v="0.14128898041464821"/>
    <n v="6.049992454539205"/>
    <n v="0.22129686661328732"/>
    <n v="1.851629330589474"/>
    <n v="3.6416084781310741E-4"/>
    <n v="0.64897096504269247"/>
    <n v="37.009912759698203"/>
    <n v="13.692600113658667"/>
    <n v="2.8801095450666536"/>
    <n v="0.37349058306161703"/>
    <n v="0.382180201538112"/>
    <n v="1.32384825193492"/>
    <n v="558.44735024910517"/>
    <n v="11.019999874658778"/>
    <n v="559.0471267000438"/>
    <n v="11.020792245115338"/>
    <n v="556.32919943717388"/>
    <n v="11.603617430783764"/>
    <n v="524.79197703947841"/>
    <n v="202.78814248786085"/>
    <n v="595.17515194470536"/>
    <n v="65.39204332107775"/>
    <n v="606.16355373327303"/>
    <n v="53.821661749804861"/>
    <n v="396.93758880577127"/>
    <n v="126.74319863245198"/>
    <n v="-6.6951309880354897"/>
    <n v="-6.413088363028649"/>
    <n v="3.0444169509439067E-2"/>
    <n v="9.0128727673414346"/>
    <n v="10.966665282781612"/>
    <n v="1.9875094930953219"/>
    <n v="6.4100164730554673E-2"/>
    <n v="4.6722624572503957"/>
    <n v="11.050677355340607"/>
    <n v="2.0600361564406242"/>
    <n v="5.789467040676529E-2"/>
    <n v="9.2479543573367682"/>
    <n v="0.72235546283748664"/>
    <n v="9.4746191881904558"/>
    <n v="9.0492190464389652E-2"/>
    <n v="2.0600361564406242"/>
    <n v="0.21742680265274783"/>
    <n v="11.094600198111713"/>
    <n v="2.177041525917097"/>
    <n v="5.4650339643357596E-2"/>
    <n v="5.653616140662062"/>
    <n v="0.67917623848298969"/>
    <n v="6.0892636902759172"/>
    <n v="9.0133937423918953E-2"/>
    <n v="2.177041525917097"/>
    <n v="0.37171226258132728"/>
  </r>
  <r>
    <x v="5"/>
    <s v="Y"/>
    <s v="Y"/>
    <x v="0"/>
    <s v="016-15t"/>
    <n v="-5.7757349079097822E-12"/>
    <n v="9999"/>
    <n v="5.776922436408332E-2"/>
    <n v="4.972381349944845"/>
    <n v="0.12352308049287954"/>
    <n v="6.7077128615468569"/>
    <n v="0.21768898348234272"/>
    <n v="1.9361594859840268"/>
    <n v="-1.0702735414373863E-4"/>
    <n v="-0.1903978491469232"/>
    <n v="34.593360654336998"/>
    <n v="14.135944716262919"/>
    <n v="2.7874975271803932"/>
    <n v="0.35829477127568993"/>
    <n v="0.422116574270123"/>
    <n v="1.3172766548958299"/>
    <n v="576.95383699123749"/>
    <n v="11.327507147692094"/>
    <n v="578.00453511697799"/>
    <n v="11.72906010034268"/>
    <n v="578.90707764953129"/>
    <n v="12.293491189605941"/>
    <n v="520.03356406749106"/>
    <n v="109.12238264165677"/>
    <n v="546.32340781666869"/>
    <n v="38.470607556166009"/>
    <n v="563.85629846492145"/>
    <n v="51.738742690721672"/>
    <n v="626.00830703215161"/>
    <n v="106.35562293939148"/>
    <n v="-11.4433696232689"/>
    <n v="-10.945499840152465"/>
    <n v="2.8289549556960836E-2"/>
    <n v="9.3044576446363791"/>
    <n v="10.680646192271558"/>
    <n v="2.0524992574529013"/>
    <n v="5.776922436408332E-2"/>
    <n v="4.972381349944845"/>
    <n v="10.680646191174141"/>
    <n v="2.0524992574531584"/>
    <n v="5.7769224448109488E-2"/>
    <n v="4.9723813422228105"/>
    <n v="0.74576205637139514"/>
    <n v="5.3793428422374499"/>
    <n v="9.3627293901593828E-2"/>
    <n v="2.0524992574531584"/>
    <n v="0.38155204411538396"/>
    <n v="10.642972933688377"/>
    <n v="2.2203473301221006"/>
    <n v="6.0653758698416244E-2"/>
    <n v="4.9337133902504151"/>
    <n v="0.78577107180891914"/>
    <n v="5.3812395931367396"/>
    <n v="9.3958709303364252E-2"/>
    <n v="2.2203473301221006"/>
    <n v="0.39948014174050162"/>
  </r>
  <r>
    <x v="4"/>
    <s v="Y"/>
    <s v="N"/>
    <x v="0"/>
    <s v="016-16"/>
    <n v="-7.5285008755502205E-5"/>
    <n v="50.00188177728451"/>
    <n v="5.8160568887142668E-2"/>
    <n v="1.3854989139112444"/>
    <n v="0.24207410245436825"/>
    <n v="1.3754132837624866"/>
    <n v="0.22924047774645409"/>
    <n v="2.7491525024387449"/>
    <n v="-7.3944127781751172E-5"/>
    <n v="-0.13158062092870382"/>
    <n v="400.203100326531"/>
    <n v="298.49514050031632"/>
    <n v="32.057815727537267"/>
    <n v="7.915203872441297"/>
    <n v="0.77047249230514103"/>
    <n v="0.34793249069931698"/>
    <n v="574.75711619680078"/>
    <n v="5.9629166286264859"/>
    <n v="574.7440133696648"/>
    <n v="6.0878257416719004"/>
    <n v="572.92487661339067"/>
    <n v="6.7951653836490689"/>
    <n v="575.45766590782659"/>
    <n v="35.678918976737251"/>
    <n v="589.64229436410812"/>
    <n v="10.89923229001214"/>
    <n v="589.52277592393682"/>
    <n v="11.570226648300681"/>
    <n v="472.08962869910539"/>
    <n v="49.543904943110576"/>
    <n v="0.12724539159312301"/>
    <n v="0.12173783625257784"/>
    <n v="2.9596151402605964E-2"/>
    <n v="1.9914038364148443"/>
    <n v="10.737687392034349"/>
    <n v="1.0823388991506964"/>
    <n v="5.8160568887142668E-2"/>
    <n v="1.3854989139112444"/>
    <n v="10.723321715549851"/>
    <n v="1.0844042598810528"/>
    <n v="5.9253842594666602E-2"/>
    <n v="1.6411387819560599"/>
    <n v="0.76188330758606804"/>
    <n v="1.9670457799676127"/>
    <n v="9.3254686050303195E-2"/>
    <n v="1.0844042598810528"/>
    <n v="0.55128572548977861"/>
    <n v="10.759166970108149"/>
    <n v="1.2395338257595379"/>
    <n v="5.6525904624576698E-2"/>
    <n v="2.2390720398284594"/>
    <n v="0.72438616774791931"/>
    <n v="2.4917402195069953"/>
    <n v="9.2943998617947665E-2"/>
    <n v="1.2395338257595379"/>
    <n v="0.4422348493056068"/>
  </r>
  <r>
    <x v="4"/>
    <s v="Y"/>
    <s v="N"/>
    <x v="0"/>
    <s v="016-17"/>
    <n v="1.0677873954733112E-4"/>
    <n v="44.723746941387624"/>
    <n v="6.1697452559238766E-2"/>
    <n v="3.9122759556532607"/>
    <n v="0.24371207694860017"/>
    <n v="5.6497351057879781"/>
    <n v="0.2323517103818952"/>
    <n v="5.9095021983692622"/>
    <n v="2.3741229168130945E-4"/>
    <n v="0.42391258424523887"/>
    <n v="342.27537230526099"/>
    <n v="238.67647008149672"/>
    <n v="25.591557311446124"/>
    <n v="6.0924839934814088"/>
    <n v="0.72033460056920495"/>
    <n v="0.37001249082030202"/>
    <n v="539.22718452047388"/>
    <n v="26.72901062672836"/>
    <n v="538.01816888136796"/>
    <n v="27.170618578049314"/>
    <n v="534.59564863949242"/>
    <n v="30.309531673189671"/>
    <n v="607.94669987354132"/>
    <n v="90.445336141515796"/>
    <n v="579.52009217483817"/>
    <n v="43.996970258637987"/>
    <n v="567.7995356720005"/>
    <n v="45.704276099395358"/>
    <m/>
    <n v="188.9289010701284"/>
    <n v="11.303542788761206"/>
    <n v="11.303542788761206"/>
    <n v="2.8490179842999508E-2"/>
    <n v="8.1629586423033835"/>
    <n v="11.440029873614346"/>
    <n v="5.1664113078757428"/>
    <n v="6.1697452559238766E-2"/>
    <n v="3.9122759556532607"/>
    <n v="11.46188301474816"/>
    <n v="5.1671176272629928"/>
    <n v="6.014844876962358E-2"/>
    <n v="4.1830175303465156"/>
    <n v="0.7235519770778186"/>
    <n v="6.6480628932914136"/>
    <n v="8.7245699394531112E-2"/>
    <n v="5.1671176272629928"/>
    <n v="0.77723657405184166"/>
    <n v="11.565396040342893"/>
    <n v="5.9079553145655339"/>
    <n v="5.2811193775526594E-2"/>
    <n v="8.3131955458571749"/>
    <n v="0.62960294419400786"/>
    <n v="9.2529320730092444"/>
    <n v="8.6464829782893604E-2"/>
    <n v="5.9079553145655339"/>
    <n v="0.47023335475661782"/>
  </r>
  <r>
    <x v="3"/>
    <s v="Y"/>
    <s v="N"/>
    <x v="0"/>
    <s v="016-18"/>
    <n v="4.8893166047316123E-5"/>
    <n v="57.73643810932807"/>
    <n v="5.9350597524142346E-2"/>
    <n v="1.2778828666370778"/>
    <n v="0.25122916947703355"/>
    <n v="1.2657858251147036"/>
    <n v="0.24122742878231038"/>
    <n v="2.5200559156084483"/>
    <n v="-3.321386573129499E-6"/>
    <n v="-5.9069812484934675E-3"/>
    <n v="454.40229381341601"/>
    <n v="358.52122220143031"/>
    <n v="36.798339707520583"/>
    <n v="9.3386544475617352"/>
    <n v="0.81503202685448894"/>
    <n v="0.32979776821240397"/>
    <n v="580.25235282492906"/>
    <n v="7.7449325763078436"/>
    <n v="580.76807510301774"/>
    <n v="7.910815703826918"/>
    <n v="580.96855994813222"/>
    <n v="8.8757895599692169"/>
    <n v="552.77683997032466"/>
    <n v="32.118841209481346"/>
    <n v="574.78199802143843"/>
    <n v="11.100659876574591"/>
    <n v="579.23690327590145"/>
    <n v="11.891106594955842"/>
    <n v="591.5047708754563"/>
    <n v="47.94392922180932"/>
    <n v="-5.1976739142482797"/>
    <n v="-4.9704529690642261"/>
    <n v="2.9072329858819579E-2"/>
    <n v="2.0824478696761002"/>
    <n v="10.607941290313597"/>
    <n v="1.3948203613691539"/>
    <n v="5.9350597524142346E-2"/>
    <n v="1.2778828666370778"/>
    <n v="10.617173448548765"/>
    <n v="1.3957251666509782"/>
    <n v="5.8640054462961888E-2"/>
    <n v="1.47173200903792"/>
    <n v="0.76152949262200686"/>
    <n v="2.0283105894437599"/>
    <n v="9.4187026786935218E-2"/>
    <n v="1.3957251666509782"/>
    <n v="0.68812201342090284"/>
    <n v="10.603486906556341"/>
    <n v="1.5976340494883161"/>
    <n v="5.9693424346422948E-2"/>
    <n v="2.211260787780525"/>
    <n v="0.77620969605721868"/>
    <n v="2.5523241724992771"/>
    <n v="9.4308599502459955E-2"/>
    <n v="1.5976340494883161"/>
    <n v="0.51219308070213732"/>
  </r>
  <r>
    <x v="3"/>
    <s v="Y"/>
    <s v="N"/>
    <x v="0"/>
    <s v="014-1b"/>
    <n v="1.5780909904933454E-5"/>
    <n v="100.00078916738333"/>
    <n v="5.8579403518202795E-2"/>
    <n v="1.2724859373619808"/>
    <n v="0.28262491033873349"/>
    <n v="1.1701596382503534"/>
    <n v="0.22954939551941531"/>
    <n v="1.9089858503433612"/>
    <n v="-6.0768554783462041E-5"/>
    <n v="-0.10805485947952875"/>
    <n v="488.00410365863303"/>
    <n v="437.96666869804818"/>
    <n v="39.68283752982682"/>
    <n v="11.403349751390188"/>
    <n v="0.92708148430153103"/>
    <n v="0.317534250514588"/>
    <n v="582.30537964225618"/>
    <n v="5.6559801058011416"/>
    <n v="583.06341141351879"/>
    <n v="5.7919392416754647"/>
    <n v="583.67897062439306"/>
    <n v="6.6513758341968616"/>
    <n v="541.94474068608463"/>
    <n v="29.232150973543963"/>
    <n v="573.2435443042923"/>
    <n v="9.0172005130011996"/>
    <n v="579.00284400296744"/>
    <n v="9.8805479897874715"/>
    <n v="615.61290136493949"/>
    <n v="54.369878157303461"/>
    <n v="-7.7891629184405797"/>
    <n v="-7.447371646245017"/>
    <n v="2.9060413185310274E-2"/>
    <n v="1.731035289199975"/>
    <n v="10.575062477900547"/>
    <n v="1.0154499334591367"/>
    <n v="5.8579403518202795E-2"/>
    <n v="1.2724859373619808"/>
    <n v="10.578030740091092"/>
    <n v="1.0158377926139228"/>
    <n v="5.8349985877371009E-2"/>
    <n v="1.3370005371755078"/>
    <n v="0.7605665222998429"/>
    <n v="1.6791357471361044"/>
    <n v="9.45355543551189E-2"/>
    <n v="1.0158377926139228"/>
    <n v="0.60497657461376342"/>
    <n v="10.551995906386935"/>
    <n v="1.1919287876615945"/>
    <n v="6.0362223929278869E-2"/>
    <n v="2.5177843609524371"/>
    <n v="0.78873641623869117"/>
    <n v="2.8231569165914974"/>
    <n v="9.4768800980553625E-2"/>
    <n v="1.1919287876615945"/>
    <n v="0.45344269058640585"/>
  </r>
  <r>
    <x v="2"/>
    <s v="Y"/>
    <s v="N"/>
    <x v="0"/>
    <s v="014-3b"/>
    <n v="4.9976274992217845E-4"/>
    <n v="31.63067736776949"/>
    <n v="6.2159443924319206E-2"/>
    <n v="2.2028299522764438"/>
    <n v="0.42101309974783224"/>
    <n v="1.8030440617258718"/>
    <n v="0.16916551518006662"/>
    <n v="2.3600929554177528"/>
    <n v="3.6154449748902322E-4"/>
    <n v="0.64863279379379446"/>
    <n v="193.41110808152399"/>
    <n v="216.50375357321914"/>
    <n v="13.020884397620328"/>
    <n v="5.390809223843565"/>
    <n v="1.1563367774454101"/>
    <n v="0.93775083907199697"/>
    <n v="485.2339573534465"/>
    <n v="5.9513195540993991"/>
    <n v="486.40341160001049"/>
    <n v="5.9552402713715065"/>
    <n v="472.84420562715007"/>
    <n v="7.5381083747874662"/>
    <n v="405.5849978615874"/>
    <n v="110.49601894229953"/>
    <n v="547.0502311620105"/>
    <n v="15.139962668402204"/>
    <n v="554.04775394032947"/>
    <n v="13.890635665964252"/>
    <m/>
    <n v="484.42045788938287"/>
    <n v="-19.638043791511407"/>
    <n v="-19.638043791511407"/>
    <n v="2.7790664586597957E-2"/>
    <n v="2.5416377915637338"/>
    <n v="12.676750469311646"/>
    <n v="1.2406474228908249"/>
    <n v="6.2159443924319206E-2"/>
    <n v="2.2028299522764438"/>
    <n v="12.79143911824581"/>
    <n v="1.2732235159719034"/>
    <n v="5.4861711957234487E-2"/>
    <n v="4.9363520587708436"/>
    <n v="0.5913590155679721"/>
    <n v="5.0979083720438725"/>
    <n v="7.817728644571291E-2"/>
    <n v="1.2732235159719034"/>
    <n v="0.24975409973118798"/>
    <n v="13.139385033699213"/>
    <n v="1.6533876621307357"/>
    <n v="3.2721630496527085E-2"/>
    <n v="16.701555404551701"/>
    <n v="0.34336906950286383"/>
    <n v="17.326658909648692"/>
    <n v="7.6107062654397595E-2"/>
    <n v="1.6533876621307357"/>
    <n v="0.4189666212634891"/>
  </r>
  <r>
    <x v="2"/>
    <s v="Y"/>
    <s v="N"/>
    <x v="0"/>
    <s v="014-4t"/>
    <n v="4.0681862833139698E-4"/>
    <n v="40.83313206322984"/>
    <n v="5.9673829027015277E-2"/>
    <n v="2.6557400508210174"/>
    <n v="0.39544275094241166"/>
    <n v="2.1017732268270608"/>
    <n v="0.15691271723093222"/>
    <n v="1.1180345997475118"/>
    <n v="2.5740865963610473E-4"/>
    <n v="0.46339572275375879"/>
    <n v="151.50040570836501"/>
    <n v="158.32884084942825"/>
    <n v="9.3697865298355865"/>
    <n v="3.6661201894827014"/>
    <n v="1.07955943637733"/>
    <n v="0.477513002979919"/>
    <n v="447.01399661646377"/>
    <n v="5.4961471722977748"/>
    <n v="448.18406662485205"/>
    <n v="5.4945453126407342"/>
    <n v="435.62816950433654"/>
    <n v="6.8317079240180201"/>
    <n v="358.51012563437837"/>
    <n v="122.75055557931874"/>
    <n v="508.26840206239149"/>
    <n v="14.977440264051372"/>
    <n v="515.7257961002606"/>
    <n v="13.802126352067273"/>
    <m/>
    <n v="470.16015547662107"/>
    <n v="-24.686574981802565"/>
    <n v="-24.686574981802565"/>
    <n v="2.5843841360821074E-2"/>
    <n v="2.7105410616073948"/>
    <n v="13.824839043387724"/>
    <n v="1.2364768465301175"/>
    <n v="5.9673829027015277E-2"/>
    <n v="2.6557400508210174"/>
    <n v="13.926834804476574"/>
    <n v="1.2726467549919636"/>
    <n v="5.3724649431283154E-2"/>
    <n v="5.4385989442434663"/>
    <n v="0.53189075389939089"/>
    <n v="5.5855159331361435"/>
    <n v="7.1803824346258843E-2"/>
    <n v="1.2726467549919636"/>
    <n v="0.22784766353309829"/>
    <n v="14.303604642802387"/>
    <n v="1.6218281070800198"/>
    <n v="3.1748526006872495E-2"/>
    <n v="15.896292271046118"/>
    <n v="0.30604081105040487"/>
    <n v="16.501025116683021"/>
    <n v="6.9912446895209923E-2"/>
    <n v="1.6218281070800198"/>
    <n v="0.41518183531060598"/>
  </r>
  <r>
    <x v="3"/>
    <s v="Y"/>
    <s v="N?"/>
    <x v="0"/>
    <s v="014-5t"/>
    <n v="1.6127576717262708E-5"/>
    <n v="100.00080500057355"/>
    <n v="5.9839378729182706E-2"/>
    <n v="1.2656301453171872"/>
    <n v="0.29162216556088821"/>
    <n v="1.1977162281730689"/>
    <n v="0.21074057035490421"/>
    <n v="2.4044593502423801"/>
    <n v="5.314830626409066E-5"/>
    <n v="9.4627939704702374E-2"/>
    <n v="512.94821346893002"/>
    <n v="452.67322893620718"/>
    <n v="40.63037173486358"/>
    <n v="11.893079155332694"/>
    <n v="0.91161531166815502"/>
    <n v="0.31566055601372101"/>
    <n v="568.9608355022516"/>
    <n v="6.6855014566727702"/>
    <n v="568.60177333720435"/>
    <n v="6.8222652819157386"/>
    <n v="566.27881660861885"/>
    <n v="7.8324441692365552"/>
    <n v="588.29983172778032"/>
    <n v="28.858757655639561"/>
    <n v="586.94041183112154"/>
    <n v="10.158960885336064"/>
    <n v="584.17501372977006"/>
    <n v="10.835341908079517"/>
    <n v="434.26747451285814"/>
    <n v="62.926863382217988"/>
    <n v="3.4343938423500502"/>
    <n v="3.2872686991481856"/>
    <n v="2.9323776336649843E-2"/>
    <n v="1.8817439534377862"/>
    <n v="10.834396648749228"/>
    <n v="1.2273182450435787"/>
    <n v="5.9839378729182706E-2"/>
    <n v="1.2656301453171872"/>
    <n v="10.837508569480878"/>
    <n v="1.2276542981717404"/>
    <n v="5.9605275862502187E-2"/>
    <n v="1.3303015444988897"/>
    <n v="0.7583270069160799"/>
    <n v="1.8102036557016672"/>
    <n v="9.227213003697772E-2"/>
    <n v="1.2276542981717404"/>
    <n v="0.67818573578997654"/>
    <n v="10.891135973395675"/>
    <n v="1.4447824168492962"/>
    <n v="5.5571005689293351E-2"/>
    <n v="2.825327535690711"/>
    <n v="0.70351984248075117"/>
    <n v="3.1650056789832743"/>
    <n v="9.1817786725163497E-2"/>
    <n v="1.4447824168492962"/>
    <n v="0.45073384782603287"/>
  </r>
  <r>
    <x v="3"/>
    <s v="Y"/>
    <s v="Y"/>
    <x v="0"/>
    <s v="014-6t"/>
    <n v="-8.6177546553396832E-5"/>
    <n v="44.723286128036968"/>
    <n v="6.0376489156538385E-2"/>
    <n v="1.3152493206766542"/>
    <n v="0.27918294193849724"/>
    <n v="1.2405874211524237"/>
    <n v="0.20673538463635308"/>
    <n v="3.4849410371225118"/>
    <n v="1.359437044387747E-4"/>
    <n v="0.24260086349858062"/>
    <n v="466.81946063588703"/>
    <n v="397.09838550767074"/>
    <n v="35.296358757292765"/>
    <n v="9.7912933062166516"/>
    <n v="0.87871793448940305"/>
    <n v="0.322964036606955"/>
    <n v="545.8961285905508"/>
    <n v="11.599588907840319"/>
    <n v="543.82418925321144"/>
    <n v="11.764309337200674"/>
    <n v="543.12005378659887"/>
    <n v="13.397731446958266"/>
    <n v="660.13424911165725"/>
    <n v="33.708972508283082"/>
    <n v="565.22847508804568"/>
    <n v="14.549462439102854"/>
    <n v="548.72911616558054"/>
    <n v="14.542022771506334"/>
    <n v="502.06404385000718"/>
    <n v="61.438694516564098"/>
    <n v="18.046094080598198"/>
    <n v="17.305286110338415"/>
    <n v="2.752024773847217E-2"/>
    <n v="2.6862638813201971"/>
    <n v="11.333324636357386"/>
    <n v="2.215045713068672"/>
    <n v="6.0376489156538385E-2"/>
    <n v="1.3152493206766542"/>
    <n v="11.315921909268278"/>
    <n v="2.2161100285025332"/>
    <n v="6.1624358258822655E-2"/>
    <n v="1.5726037841407674"/>
    <n v="0.75086825314402461"/>
    <n v="2.7173932951126822"/>
    <n v="8.8371058762870436E-2"/>
    <n v="2.2161100285025332"/>
    <n v="0.81552789303200135"/>
    <n v="11.376245241333299"/>
    <n v="2.5721836261345334"/>
    <n v="5.7298851006692617E-2"/>
    <n v="2.7909876550255723"/>
    <n v="0.69446160918704425"/>
    <n v="3.4195064049147375"/>
    <n v="8.790246507403876E-2"/>
    <n v="2.5721836261345334"/>
    <n v="0.59800027865179073"/>
  </r>
  <r>
    <x v="2"/>
    <s v="Y"/>
    <s v="N"/>
    <x v="0"/>
    <s v="014-7b"/>
    <n v="2.6925934701526173E-4"/>
    <n v="40.830324688699307"/>
    <n v="6.0447885155375386E-2"/>
    <n v="2.1058538701821776"/>
    <n v="0.3754651655243248"/>
    <n v="1.7509723181623291"/>
    <n v="0.17566678305879771"/>
    <n v="3.205726964641308"/>
    <n v="2.6257780109900192E-4"/>
    <n v="0.47150799596862047"/>
    <n v="211.77134974004099"/>
    <n v="204.45672100436667"/>
    <n v="13.935793934165217"/>
    <n v="5.168101245171691"/>
    <n v="0.997319954076758"/>
    <n v="0.42531298324762801"/>
    <n v="475.78614097200972"/>
    <n v="5.3486878433857639"/>
    <n v="475.84143708434937"/>
    <n v="5.3988210425924761"/>
    <n v="461.25358463176661"/>
    <n v="6.5352895209283854"/>
    <n v="472.01629748808875"/>
    <n v="80.493425227433875"/>
    <n v="561.95711194340481"/>
    <n v="13.41394597477521"/>
    <n v="562.33976308164995"/>
    <n v="12.904613018681259"/>
    <m/>
    <e v="#NUM!"/>
    <n v="-0.79866807650134319"/>
    <n v="-0.79866807650134319"/>
    <n v="2.8212399281684952E-2"/>
    <n v="2.3268779464582852"/>
    <n v="12.992001933458573"/>
    <n v="1.1491784295113756"/>
    <n v="6.0447885155375386E-2"/>
    <n v="2.1058538701821776"/>
    <n v="13.055124238885645"/>
    <n v="1.1661750242858884"/>
    <n v="5.6524031337796238E-2"/>
    <n v="3.6377491488675031"/>
    <n v="0.59697121974846734"/>
    <n v="3.8201024930431431"/>
    <n v="7.65982752597196E-2"/>
    <n v="1.1661750242858884"/>
    <n v="0.30527322929414341"/>
    <n v="13.481819247076668"/>
    <n v="1.4681477003453043"/>
    <n v="2.9999511589913569E-2"/>
    <n v="11.531162650643234"/>
    <n v="0.3068081971885348"/>
    <n v="12.0005055752502"/>
    <n v="7.4173965818213672E-2"/>
    <n v="1.4681477003453043"/>
    <n v="0.37460251072010736"/>
  </r>
  <r>
    <x v="2"/>
    <s v="Y"/>
    <s v="N"/>
    <x v="0"/>
    <s v="014-8b"/>
    <n v="4.2555657912658863E-5"/>
    <n v="57.736255069182732"/>
    <n v="5.8776816530915044E-2"/>
    <n v="1.1986691421854641"/>
    <n v="0.26124985736645429"/>
    <n v="1.1541887571383127"/>
    <n v="0.19171704237519113"/>
    <n v="2.3453915532966993"/>
    <n v="5.2832192403628376E-6"/>
    <n v="9.4187049844562248E-3"/>
    <n v="646.87574063556804"/>
    <n v="522.19310640847664"/>
    <n v="49.960226718953656"/>
    <n v="13.170040814449903"/>
    <n v="0.83389350540485596"/>
    <n v="0.30419487694469"/>
    <n v="554.65433267987328"/>
    <n v="5.4573038653362538"/>
    <n v="555.00773624427779"/>
    <n v="5.572810392342789"/>
    <n v="554.18560279690234"/>
    <n v="6.3042634312219636"/>
    <n v="534.73393360280761"/>
    <n v="29.756784911036601"/>
    <n v="558.1266918278626"/>
    <n v="8.8828510276096466"/>
    <n v="561.09779657286708"/>
    <n v="9.5902993641496828"/>
    <n v="507.39956628196632"/>
    <n v="47.265222627390102"/>
    <n v="-3.8879392442924301"/>
    <n v="-3.72529174328821"/>
    <n v="2.814922138235354E-2"/>
    <n v="1.7330365863223822"/>
    <n v="11.121124965378225"/>
    <n v="1.0259098343400719"/>
    <n v="5.8776816530915044E-2"/>
    <n v="1.1986691421854641"/>
    <n v="11.129568576041882"/>
    <n v="1.0268459271293009"/>
    <n v="5.8157980296952384E-2"/>
    <n v="1.3593286939692459"/>
    <n v="0.72049713953922268"/>
    <n v="1.703580657412548"/>
    <n v="8.9850742476456344E-2"/>
    <n v="1.0268459271293009"/>
    <n v="0.60275744659422636"/>
    <n v="11.139392738093591"/>
    <n v="1.1871705347195256"/>
    <n v="5.7437962796371859E-2"/>
    <n v="2.1490894114993147"/>
    <n v="0.71094955502207324"/>
    <n v="2.4101129288064329"/>
    <n v="8.9771500432001217E-2"/>
    <n v="1.1871705347195256"/>
    <n v="0.45425332595448076"/>
  </r>
  <r>
    <x v="5"/>
    <s v="Y"/>
    <s v="Y"/>
    <x v="0"/>
    <s v="014-9b"/>
    <n v="-6.0828163158395139E-13"/>
    <n v="9999"/>
    <n v="6.2149439344049928E-2"/>
    <n v="1.9814996174806359"/>
    <n v="0.11060754288966068"/>
    <n v="2.923548236769101"/>
    <n v="0.22079436249520265"/>
    <n v="2.6966808823743089"/>
    <n v="2.1781871760232836E-4"/>
    <n v="0.38792330833609096"/>
    <n v="195.82869034139199"/>
    <n v="67.567143317618502"/>
    <n v="15.425150090441514"/>
    <n v="1.6014229012208694"/>
    <n v="0.35641794328206799"/>
    <n v="0.61169434905262798"/>
    <n v="567.67991554367131"/>
    <n v="10.850415399312032"/>
    <n v="565.57158615471883"/>
    <n v="11.041496950624538"/>
    <n v="567.59224816788094"/>
    <n v="11.481218986913992"/>
    <n v="678.29380223206988"/>
    <n v="42.346625610948514"/>
    <n v="569.32012430553357"/>
    <n v="20.169242910847998"/>
    <n v="527.73163362528464"/>
    <n v="25.281152063958558"/>
    <n v="673.77916985943489"/>
    <n v="50.027681060473562"/>
    <n v="17.034095843280699"/>
    <n v="16.30766584102642"/>
    <n v="2.6453362131325431E-2"/>
    <n v="4.8533432555787703"/>
    <n v="10.863057517785508"/>
    <n v="1.9967550693503786"/>
    <n v="6.2149439344049928E-2"/>
    <n v="1.9814996174806359"/>
    <n v="10.863057517667826"/>
    <n v="1.9967550693503815"/>
    <n v="6.2149439352852026E-2"/>
    <n v="1.98149961717904"/>
    <n v="0.78883543459419503"/>
    <n v="2.8130715490113523"/>
    <n v="9.2055114167773316E-2"/>
    <n v="1.9967550693503815"/>
    <n v="0.70981311159758331"/>
    <n v="10.864810330860729"/>
    <n v="2.1131513085961635"/>
    <n v="6.2018335685045764E-2"/>
    <n v="2.3391740082494485"/>
    <n v="0.78704439965834883"/>
    <n v="2.8392695676931696"/>
    <n v="9.2040262972614473E-2"/>
    <n v="2.1131513085961635"/>
    <n v="0.58794608126886483"/>
  </r>
  <r>
    <x v="5"/>
    <s v="Y"/>
    <s v="Y"/>
    <x v="0"/>
    <s v="014-10b"/>
    <n v="1.4669984989545089E-4"/>
    <n v="50.003667049229037"/>
    <n v="6.0068112584610381E-2"/>
    <n v="1.9136936942948861"/>
    <n v="0.11344289601998471"/>
    <n v="2.7132956674353346"/>
    <n v="0.24361872271797888"/>
    <n v="2.4333272258033611"/>
    <n v="7.4983106537857648E-5"/>
    <n v="0.1335532091754619"/>
    <n v="203.493456182964"/>
    <n v="73.519169035292208"/>
    <n v="16.021906016881537"/>
    <n v="1.7920223814407532"/>
    <n v="0.37320758631753398"/>
    <n v="0.58431465742206101"/>
    <n v="564.64322152436023"/>
    <n v="6.3541526674996875"/>
    <n v="565.33555819907974"/>
    <n v="6.4844946040159694"/>
    <n v="566.61446852212714"/>
    <n v="6.7482321550883979"/>
    <n v="526.29164086794901"/>
    <n v="59.503491693212446"/>
    <n v="529.48580298192576"/>
    <n v="20.636297422252287"/>
    <n v="542.53252251009621"/>
    <n v="21.895754074551164"/>
    <n v="634.79455908333944"/>
    <n v="43.93898738935782"/>
    <n v="-7.6112645788848097"/>
    <n v="-7.2871346755883479"/>
    <n v="2.7205282489865645E-2"/>
    <n v="4.0902486857375671"/>
    <n v="10.895546790366048"/>
    <n v="1.1680203732646264"/>
    <n v="6.0068112584610381E-2"/>
    <n v="1.9136936942948861"/>
    <n v="10.924090199716517"/>
    <n v="1.1753431816449271"/>
    <n v="5.7934283583960682E-2"/>
    <n v="2.7142921996901044"/>
    <n v="0.73122602198614106"/>
    <n v="2.9578393702055163"/>
    <n v="9.1540804013678895E-2"/>
    <n v="1.1753431816449271"/>
    <n v="0.39736545313590238"/>
    <n v="10.884396748686136"/>
    <n v="1.244081841744874"/>
    <n v="6.0901659902063456E-2"/>
    <n v="2.0412622185714868"/>
    <n v="0.77148243133549255"/>
    <n v="2.2769094210890217"/>
    <n v="9.1874636977075541E-2"/>
    <n v="1.244081841744874"/>
    <n v="0.45280817094381465"/>
  </r>
  <r>
    <x v="3"/>
    <s v="Y"/>
    <s v="N"/>
    <x v="0"/>
    <s v="014-11t"/>
    <n v="1.3895115013672301E-5"/>
    <n v="100.00069412833292"/>
    <n v="5.8941047147558191E-2"/>
    <n v="1.180296783634867"/>
    <n v="0.16161392699223667"/>
    <n v="1.4131495417751287"/>
    <n v="0.24772568598355907"/>
    <n v="2.4269649162083149"/>
    <n v="-2.5904540099893342E-5"/>
    <n v="-4.6083253740309901E-2"/>
    <n v="524.05591022537499"/>
    <n v="268.56706949375649"/>
    <n v="42.210770973436176"/>
    <n v="6.9263545570504457"/>
    <n v="0.52938966506023999"/>
    <n v="0.35208672911682598"/>
    <n v="577.38932072448097"/>
    <n v="5.5673858585384286"/>
    <n v="577.78043648408868"/>
    <n v="5.6944141491605835"/>
    <n v="578.12151877896667"/>
    <n v="6.0735412806010087"/>
    <n v="556.46016517217527"/>
    <n v="26.903631694878847"/>
    <n v="568.38756223670532"/>
    <n v="10.090770756521545"/>
    <n v="573.58756257103812"/>
    <n v="11.953576242383361"/>
    <n v="596.11975317809561"/>
    <n v="31.348438020346244"/>
    <n v="-3.93217038885996"/>
    <n v="-3.7611237716953099"/>
    <n v="2.8784743170633842E-2"/>
    <n v="2.1137120097406537"/>
    <n v="10.669586618016963"/>
    <n v="1.0077575964447196"/>
    <n v="5.8941047147558191E-2"/>
    <n v="1.180296783634867"/>
    <n v="10.672224676105921"/>
    <n v="1.0080608655237415"/>
    <n v="5.8739138899533742E-2"/>
    <n v="1.2335328111243438"/>
    <n v="0.75888136890525582"/>
    <n v="1.5930442256010349"/>
    <n v="9.3701175748192714E-2"/>
    <n v="1.0080608655237415"/>
    <n v="0.63278900191450316"/>
    <n v="10.658093828679959"/>
    <n v="1.0983767428114377"/>
    <n v="5.9820667262695651E-2"/>
    <n v="1.4469673214670427"/>
    <n v="0.77387886940774164"/>
    <n v="1.6458026355933029"/>
    <n v="9.3825407814396522E-2"/>
    <n v="1.0983767428114377"/>
    <n v="0.50378158188177025"/>
  </r>
  <r>
    <x v="2"/>
    <s v="Y"/>
    <s v="N"/>
    <x v="0"/>
    <s v="014-12t"/>
    <n v="3.1090847071846446E-4"/>
    <n v="37.802322266351304"/>
    <n v="6.2680394534927339E-2"/>
    <n v="2.0605890503667621"/>
    <n v="0.17165923909825218"/>
    <n v="2.4909578785335627"/>
    <n v="0.22099737435650854"/>
    <n v="0.84390636773693217"/>
    <n v="3.8026019933277348E-4"/>
    <n v="0.68158988765995543"/>
    <n v="190.06920356025199"/>
    <n v="97.227493731261646"/>
    <n v="13.060327511117389"/>
    <n v="2.088824516411651"/>
    <n v="0.52841806638367395"/>
    <n v="0.53725592298535696"/>
    <n v="496.67542750472091"/>
    <n v="5.7634227548221464"/>
    <n v="496.07784717583871"/>
    <n v="5.8070087151699807"/>
    <n v="497.4868954795852"/>
    <n v="6.2882962835438905"/>
    <n v="534.76606844860362"/>
    <n v="81.089522544093569"/>
    <n v="486.80784201055422"/>
    <n v="18.98688727718638"/>
    <n v="478.94083649608473"/>
    <n v="16.847460565901631"/>
    <n v="585.70026014569157"/>
    <n v="53.298183150441538"/>
    <n v="7.4004996771973799"/>
    <n v="7.1228604788606873"/>
    <n v="2.3978569203028099E-2"/>
    <n v="3.5594906258811392"/>
    <n v="12.415968718059712"/>
    <n v="1.1869194033084449"/>
    <n v="6.2680394534927339E-2"/>
    <n v="2.0605890503667621"/>
    <n v="12.485548400779898"/>
    <n v="1.2056767424282382"/>
    <n v="5.815883404237783E-2"/>
    <n v="3.704295262445306"/>
    <n v="0.64225773513177531"/>
    <n v="3.8955692521898651"/>
    <n v="8.009259728932179E-2"/>
    <n v="1.2056767424282382"/>
    <n v="0.30949950170966056"/>
    <n v="12.464388185007309"/>
    <n v="1.3134133146288922"/>
    <n v="5.9533907798260448E-2"/>
    <n v="2.4558115841640653"/>
    <n v="0.65855901512259718"/>
    <n v="2.7044654366626508"/>
    <n v="8.0228566790212952E-2"/>
    <n v="1.3134133146288922"/>
    <n v="0.423438734859414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81C24-88A7-4D42-9D8B-1BFADE6FF217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R9" firstHeaderRow="0" firstDataRow="1" firstDataCol="1"/>
  <pivotFields count="61">
    <pivotField axis="axisRow" showAll="0">
      <items count="8">
        <item x="4"/>
        <item x="5"/>
        <item x="3"/>
        <item x="2"/>
        <item x="1"/>
        <item m="1" x="6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numFmtId="166" showAll="0"/>
    <pivotField numFmtId="167" showAll="0"/>
    <pivotField numFmtId="168" showAll="0"/>
    <pivotField numFmtId="167" showAll="0"/>
    <pivotField numFmtId="2" showAll="0"/>
    <pivotField numFmtId="167" showAll="0"/>
    <pivotField numFmtId="169" showAll="0"/>
    <pivotField dataField="1" numFmtId="170" showAll="0"/>
    <pivotField dataField="1" numFmtId="1" showAll="0"/>
    <pivotField dataField="1" numFmtId="1" showAll="0"/>
    <pivotField dataField="1" numFmtId="1" showAll="0"/>
    <pivotField dataField="1" numFmtId="167" showAll="0"/>
    <pivotField numFmtId="2" showAll="0"/>
    <pivotField numFmtId="171" showAll="0"/>
    <pivotField dataField="1" numFmtId="172" showAll="0"/>
    <pivotField numFmtId="173" showAll="0"/>
    <pivotField numFmtId="172" showAll="0"/>
    <pivotField numFmtId="173" showAll="0"/>
    <pivotField numFmtId="172" showAll="0"/>
    <pivotField numFmtId="173" showAll="0"/>
    <pivotField dataField="1" showAll="0"/>
    <pivotField showAll="0"/>
    <pivotField numFmtId="172" showAll="0"/>
    <pivotField numFmtId="173" showAll="0"/>
    <pivotField numFmtId="172" showAll="0"/>
    <pivotField numFmtId="173" showAll="0"/>
    <pivotField showAll="0"/>
    <pivotField showAll="0"/>
    <pivotField showAll="0"/>
    <pivotField dataField="1" showAll="0"/>
    <pivotField numFmtId="166" showAll="0"/>
    <pivotField numFmtId="167" showAll="0"/>
    <pivotField numFmtId="167" showAll="0"/>
    <pivotField numFmtId="167" showAll="0"/>
    <pivotField numFmtId="166" showAll="0"/>
    <pivotField numFmtId="167" showAll="0"/>
    <pivotField numFmtId="167" showAll="0"/>
    <pivotField numFmtId="167" showAll="0"/>
    <pivotField numFmtId="166" showAll="0"/>
    <pivotField numFmtId="167" showAll="0"/>
    <pivotField dataField="1" numFmtId="2" showAll="0"/>
    <pivotField numFmtId="167" showAll="0"/>
    <pivotField dataField="1" numFmtId="168" showAll="0"/>
    <pivotField numFmtId="167" showAll="0"/>
    <pivotField numFmtId="167" showAll="0"/>
    <pivotField numFmtId="167" showAll="0"/>
    <pivotField numFmtId="167" showAll="0"/>
    <pivotField numFmtId="168" showAll="0"/>
    <pivotField numFmtId="167" showAll="0"/>
    <pivotField numFmtId="2" showAll="0"/>
    <pivotField numFmtId="167" showAll="0"/>
    <pivotField numFmtId="168" showAll="0"/>
    <pivotField numFmtId="167"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6"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Average of (1) 207Pb*/235U" fld="47" subtotal="average" baseField="0" baseItem="0" numFmtId="2"/>
    <dataField name="Average of (1) 206Pb*/238U" fld="49" subtotal="average" baseField="0" baseItem="0" numFmtId="168"/>
    <dataField name="Max of Our % disc" fld="36" subtotal="max" baseField="0" baseItem="0"/>
    <dataField name="Min of Our % disc" fld="36" subtotal="min" baseField="0" baseItem="0"/>
    <dataField name="Average of 207Pb/206Pb" fld="7" subtotal="average" baseField="0" baseItem="3" numFmtId="166"/>
    <dataField name="Average of 7-corr ppm 206Pb*" fld="17" subtotal="average" baseField="0" baseItem="3" numFmtId="1"/>
    <dataField name="Average of 7-corr ppm 208Pb*" fld="18" subtotal="average" baseField="0" baseItem="3" numFmtId="167"/>
    <dataField name="Average of ppm U" fld="15" subtotal="average" baseField="0" baseItem="0" numFmtId="1"/>
    <dataField name="StdDev of ppm U" fld="15" subtotal="stdDev" baseField="0" baseItem="3" numFmtId="1"/>
    <dataField name="Average of ppm Th" fld="16" subtotal="average" baseField="0" baseItem="0" numFmtId="1"/>
    <dataField name="StdDev of ppm Th" fld="16" subtotal="stdDev" baseField="0" baseItem="3" numFmtId="1"/>
    <dataField name="Average of (1) 207Pb/206Pb Age" fld="27" subtotal="average" baseField="0" baseItem="0" numFmtId="167"/>
    <dataField name="StdDev of (1) 207Pb/206Pb Age" fld="27" subtotal="stdDev" baseField="0" baseItem="0" numFmtId="167"/>
    <dataField name="Average of (1) 206Pb/238U Age" fld="21" subtotal="average" baseField="0" baseItem="0" numFmtId="176"/>
    <dataField name="StdDev of (1) 206Pb/238U Age" fld="21" subtotal="stdDev" baseField="0" baseItem="0" numFmtId="172"/>
    <dataField name="Average of %206Pbc" fld="14" subtotal="average" baseField="0" baseItem="0" numFmtId="170"/>
    <dataField name="Count of (1) 206Pb/238U Age" fld="21" subtotal="count" baseField="0" baseItem="0"/>
  </dataFields>
  <formats count="5">
    <format dxfId="24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2">
      <pivotArea dataOnly="0" labelOnly="1" outline="0" fieldPosition="0">
        <references count="1">
          <reference field="4294967294" count="5">
            <x v="7"/>
            <x v="9"/>
            <x v="11"/>
            <x v="13"/>
            <x v="15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555E2-1AD3-427A-B478-F0430DC72D8A}" name="PivotTable1" cacheId="5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3:G23" firstHeaderRow="1" firstDataRow="2" firstDataCol="1" rowPageCount="1" colPageCount="1"/>
  <pivotFields count="61">
    <pivotField axis="axisCol" showAll="0">
      <items count="8">
        <item x="4"/>
        <item x="5"/>
        <item x="3"/>
        <item x="2"/>
        <item x="1"/>
        <item m="1" x="6"/>
        <item x="0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numFmtId="164" showAll="0"/>
    <pivotField showAll="0"/>
    <pivotField numFmtId="166" showAll="0"/>
    <pivotField numFmtId="167" showAll="0"/>
    <pivotField numFmtId="168" showAll="0"/>
    <pivotField numFmtId="167" showAll="0"/>
    <pivotField numFmtId="2" showAll="0"/>
    <pivotField numFmtId="167" showAll="0"/>
    <pivotField numFmtId="169" showAll="0"/>
    <pivotField numFmtId="170" showAll="0"/>
    <pivotField dataField="1" numFmtId="1" showAll="0"/>
    <pivotField dataField="1" numFmtId="1" showAll="0"/>
    <pivotField numFmtId="1" showAll="0"/>
    <pivotField numFmtId="167" showAll="0"/>
    <pivotField numFmtId="2" showAll="0"/>
    <pivotField numFmtId="171" showAll="0"/>
    <pivotField dataField="1" numFmtId="172" showAll="0"/>
    <pivotField numFmtId="173" showAll="0"/>
    <pivotField numFmtId="172" showAll="0"/>
    <pivotField numFmtId="173" showAll="0"/>
    <pivotField numFmtId="172" showAll="0"/>
    <pivotField numFmtId="173" showAll="0"/>
    <pivotField dataField="1" showAll="0"/>
    <pivotField showAll="0"/>
    <pivotField numFmtId="172" showAll="0"/>
    <pivotField numFmtId="173" showAll="0"/>
    <pivotField numFmtId="172" showAll="0"/>
    <pivotField numFmtId="173" showAll="0"/>
    <pivotField showAll="0"/>
    <pivotField showAll="0"/>
    <pivotField showAll="0"/>
    <pivotField showAll="0"/>
    <pivotField numFmtId="166" showAll="0"/>
    <pivotField numFmtId="167" showAll="0"/>
    <pivotField numFmtId="167" showAll="0"/>
    <pivotField numFmtId="167" showAll="0"/>
    <pivotField numFmtId="166" showAll="0"/>
    <pivotField numFmtId="167" showAll="0"/>
    <pivotField numFmtId="167" showAll="0"/>
    <pivotField numFmtId="167" showAll="0"/>
    <pivotField numFmtId="166" showAll="0"/>
    <pivotField numFmtId="167" showAll="0"/>
    <pivotField numFmtId="2" showAll="0"/>
    <pivotField numFmtId="167" showAll="0"/>
    <pivotField numFmtId="168" showAll="0"/>
    <pivotField numFmtId="167" showAll="0"/>
    <pivotField numFmtId="167" showAll="0"/>
    <pivotField numFmtId="167" showAll="0"/>
    <pivotField numFmtId="167" showAll="0"/>
    <pivotField numFmtId="168" showAll="0"/>
    <pivotField numFmtId="167" showAll="0"/>
    <pivotField numFmtId="2" showAll="0"/>
    <pivotField numFmtId="167" showAll="0"/>
    <pivotField numFmtId="168" showAll="0"/>
    <pivotField numFmtId="167" showAll="0"/>
    <pivotField numFmtId="2"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6"/>
    </i>
  </colItems>
  <pageFields count="1">
    <pageField fld="3" item="1" hier="-1"/>
  </pageFields>
  <dataFields count="9">
    <dataField name="Average of ppm U" fld="15" subtotal="average" baseField="0" baseItem="0" numFmtId="1"/>
    <dataField name="StdDev of ppm U" fld="15" subtotal="stdDev" baseField="0" baseItem="3" numFmtId="1"/>
    <dataField name="Average of ppm Th" fld="16" subtotal="average" baseField="0" baseItem="0" numFmtId="1"/>
    <dataField name="StdDev of ppm Th" fld="16" subtotal="stdDev" baseField="0" baseItem="3" numFmtId="1"/>
    <dataField name="Average of (1) 207Pb/206Pb Age" fld="27" subtotal="average" baseField="0" baseItem="0" numFmtId="167"/>
    <dataField name="StdDev of (1) 207Pb/206Pb Age" fld="27" subtotal="stdDev" baseField="0" baseItem="0" numFmtId="167"/>
    <dataField name="Average of (1) 206Pb/238U Age" fld="21" subtotal="average" baseField="0" baseItem="0" numFmtId="176"/>
    <dataField name="StdDev of (1) 206Pb/238U Age" fld="21" subtotal="stdDev" baseField="0" baseItem="0" numFmtId="172"/>
    <dataField name="Count of (1) 206Pb/238U Age" fld="21" subtotal="count" baseField="0" baseItem="0"/>
  </dataFields>
  <formats count="5">
    <format dxfId="2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">
      <pivotArea collapsedLevelsAreSubtotals="1" fieldPosition="0">
        <references count="1">
          <reference field="4294967294" count="4"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40D62-A0DF-433F-B5F6-E4157B03823A}" name="Table1" displayName="Table1" ref="AA1:AI7" totalsRowShown="0" headerRowDxfId="19">
  <tableColumns count="9">
    <tableColumn id="1" xr3:uid="{EEADEE6C-98DB-4442-8E94-EA834EDCAF4E}" name="Row Labels"/>
    <tableColumn id="2" xr3:uid="{E693E898-A728-430F-BE29-696D87929F02}" name="Min of % Discordant" dataDxfId="18"/>
    <tableColumn id="3" xr3:uid="{5049B8CB-10EE-4C35-853F-0B6ABCE8BEC7}" name="Max of % Discordant" dataDxfId="17"/>
    <tableColumn id="4" xr3:uid="{62A81749-650C-45F2-86D2-EB470AEA0B07}" name="Average of ppm U" dataDxfId="16"/>
    <tableColumn id="5" xr3:uid="{5FFBB9D2-F129-4D43-A35D-45E2E2850578}" name="Average of ppm Th" dataDxfId="15"/>
    <tableColumn id="6" xr3:uid="{28ABF310-A808-4DEE-9312-4C3EC62618D7}" name="Average of 207Pb/206Pb Age" dataDxfId="14"/>
    <tableColumn id="7" xr3:uid="{261914C9-69E7-4D1F-9A21-B56D942A1AE7}" name="Average of 206Pb/238U Age" dataDxfId="13"/>
    <tableColumn id="8" xr3:uid="{C9E56765-A6E3-4D04-8B29-259B9132CAFE}" name="Average of %206Pbc" dataDxfId="12"/>
    <tableColumn id="9" xr3:uid="{103FBF92-BB02-4D98-BF68-4F48C3C25AA2}" name="Coun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3T17:28:09.72" personId="{D8E9D275-7C4F-440D-B17A-76847E38446C}" id="{B28A1433-DA6B-4145-A923-7AC9247D1E7C}">
    <text xml:space="preserve">RPRZC = Run product recrystallized zircon core (previously metamict)
RPHZR = run product hydrothermal  zircon rim/replacement
RPCZ = run product crystalline zircon (zones that were crystalline before the experiment)
SMMZ = starting material metamict zircon
SMCZ = starting material crystalline zircon
</text>
  </threadedComment>
  <threadedComment ref="D1" dT="2026-09-22T19:32:51.80" personId="{D8E9D275-7C4F-440D-B17A-76847E38446C}" id="{15FCD9BE-CDF5-4BA7-BC12-6622FA27D416}">
    <text>To filter bad analyses</text>
  </threadedComment>
  <threadedComment ref="AK1" dT="2026-09-22T19:07:42.76" personId="{D8E9D275-7C4F-440D-B17A-76847E38446C}" id="{409E867E-90AD-4005-92BE-69BDC03CD723}">
    <text>Use these values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72F6-481B-4C02-82AB-88A004042E7E}">
  <dimension ref="A1:BI5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140625" customWidth="1"/>
    <col min="2" max="2" width="8.42578125" customWidth="1"/>
    <col min="3" max="4" width="9.28515625" customWidth="1"/>
    <col min="5" max="5" width="10.85546875" bestFit="1" customWidth="1"/>
    <col min="6" max="14" width="8.140625" customWidth="1"/>
    <col min="15" max="15" width="8.42578125" customWidth="1"/>
    <col min="16" max="16" width="6.5703125" customWidth="1"/>
    <col min="17" max="17" width="7.42578125" customWidth="1"/>
    <col min="18" max="19" width="7.140625" customWidth="1"/>
    <col min="20" max="21" width="8" customWidth="1"/>
    <col min="22" max="27" width="13.140625" bestFit="1" customWidth="1"/>
    <col min="28" max="28" width="12.7109375" bestFit="1" customWidth="1"/>
    <col min="29" max="29" width="12.85546875" bestFit="1" customWidth="1"/>
    <col min="30" max="30" width="12.7109375" bestFit="1" customWidth="1"/>
    <col min="31" max="31" width="12.85546875" bestFit="1" customWidth="1"/>
    <col min="32" max="32" width="12.7109375" bestFit="1" customWidth="1"/>
    <col min="33" max="33" width="12.85546875" bestFit="1" customWidth="1"/>
    <col min="34" max="34" width="12.7109375" bestFit="1" customWidth="1"/>
    <col min="35" max="35" width="12.85546875" bestFit="1" customWidth="1"/>
    <col min="37" max="37" width="6.42578125" bestFit="1" customWidth="1"/>
    <col min="39" max="39" width="7.85546875" bestFit="1" customWidth="1"/>
    <col min="40" max="41" width="8.28515625" bestFit="1" customWidth="1"/>
    <col min="42" max="43" width="8.140625" bestFit="1" customWidth="1"/>
    <col min="44" max="44" width="8.28515625" bestFit="1" customWidth="1"/>
    <col min="45" max="45" width="8.5703125" bestFit="1" customWidth="1"/>
    <col min="47" max="47" width="7.85546875" bestFit="1" customWidth="1"/>
    <col min="48" max="48" width="8.7109375" style="39" bestFit="1"/>
    <col min="49" max="49" width="7.85546875" bestFit="1" customWidth="1"/>
    <col min="50" max="50" width="8.7109375" style="39" bestFit="1"/>
    <col min="51" max="51" width="7.85546875" bestFit="1" customWidth="1"/>
    <col min="52" max="52" width="7.140625" bestFit="1" customWidth="1"/>
    <col min="53" max="53" width="8.28515625" bestFit="1" customWidth="1"/>
    <col min="54" max="54" width="8.5703125" bestFit="1" customWidth="1"/>
    <col min="56" max="56" width="7.85546875" bestFit="1" customWidth="1"/>
    <col min="58" max="58" width="7.85546875" bestFit="1" customWidth="1"/>
    <col min="60" max="60" width="7.85546875" bestFit="1" customWidth="1"/>
    <col min="61" max="61" width="12.85546875" bestFit="1" customWidth="1"/>
  </cols>
  <sheetData>
    <row r="1" spans="1:61" ht="59.25" x14ac:dyDescent="0.25">
      <c r="A1" s="1" t="s">
        <v>0</v>
      </c>
      <c r="B1" s="1" t="s">
        <v>141</v>
      </c>
      <c r="C1" s="1" t="s">
        <v>145</v>
      </c>
      <c r="D1" s="1" t="s">
        <v>154</v>
      </c>
      <c r="E1" s="53" t="s">
        <v>1</v>
      </c>
      <c r="F1" s="54" t="s">
        <v>2</v>
      </c>
      <c r="G1" s="55" t="s">
        <v>3</v>
      </c>
      <c r="H1" s="54" t="s">
        <v>4</v>
      </c>
      <c r="I1" s="55" t="s">
        <v>5</v>
      </c>
      <c r="J1" s="54" t="s">
        <v>6</v>
      </c>
      <c r="K1" s="55" t="s">
        <v>7</v>
      </c>
      <c r="L1" s="54" t="s">
        <v>8</v>
      </c>
      <c r="M1" s="55" t="s">
        <v>9</v>
      </c>
      <c r="N1" s="55" t="s">
        <v>10</v>
      </c>
      <c r="O1" s="56" t="s">
        <v>11</v>
      </c>
      <c r="P1" s="55" t="s">
        <v>12</v>
      </c>
      <c r="Q1" s="55" t="s">
        <v>13</v>
      </c>
      <c r="R1" s="55" t="s">
        <v>14</v>
      </c>
      <c r="S1" s="55" t="s">
        <v>15</v>
      </c>
      <c r="T1" s="54" t="s">
        <v>16</v>
      </c>
      <c r="U1" s="55" t="s">
        <v>17</v>
      </c>
      <c r="V1" s="54" t="s">
        <v>18</v>
      </c>
      <c r="W1" s="55" t="s">
        <v>19</v>
      </c>
      <c r="X1" s="54" t="s">
        <v>20</v>
      </c>
      <c r="Y1" s="55" t="s">
        <v>21</v>
      </c>
      <c r="Z1" s="54" t="s">
        <v>22</v>
      </c>
      <c r="AA1" s="54" t="s">
        <v>23</v>
      </c>
      <c r="AB1" s="54" t="s">
        <v>24</v>
      </c>
      <c r="AC1" s="54" t="s">
        <v>25</v>
      </c>
      <c r="AD1" s="54" t="s">
        <v>26</v>
      </c>
      <c r="AE1" s="54" t="s">
        <v>27</v>
      </c>
      <c r="AF1" s="54" t="s">
        <v>28</v>
      </c>
      <c r="AG1" s="54" t="s">
        <v>29</v>
      </c>
      <c r="AH1" s="54" t="s">
        <v>30</v>
      </c>
      <c r="AI1" s="54" t="s">
        <v>31</v>
      </c>
      <c r="AJ1" s="55" t="s">
        <v>32</v>
      </c>
      <c r="AK1" s="54" t="s">
        <v>33</v>
      </c>
      <c r="AL1" s="54" t="s">
        <v>34</v>
      </c>
      <c r="AM1" s="55" t="s">
        <v>35</v>
      </c>
      <c r="AN1" s="54" t="s">
        <v>36</v>
      </c>
      <c r="AO1" s="55" t="s">
        <v>37</v>
      </c>
      <c r="AP1" s="54" t="s">
        <v>38</v>
      </c>
      <c r="AQ1" s="55" t="s">
        <v>39</v>
      </c>
      <c r="AR1" s="54" t="s">
        <v>40</v>
      </c>
      <c r="AS1" s="55" t="s">
        <v>41</v>
      </c>
      <c r="AT1" s="54" t="s">
        <v>42</v>
      </c>
      <c r="AU1" s="55" t="s">
        <v>43</v>
      </c>
      <c r="AV1" s="57" t="s">
        <v>44</v>
      </c>
      <c r="AW1" s="55" t="s">
        <v>45</v>
      </c>
      <c r="AX1" s="57" t="s">
        <v>46</v>
      </c>
      <c r="AY1" s="55" t="s">
        <v>47</v>
      </c>
      <c r="AZ1" s="55" t="s">
        <v>48</v>
      </c>
      <c r="BA1" s="54" t="s">
        <v>49</v>
      </c>
      <c r="BB1" s="55" t="s">
        <v>50</v>
      </c>
      <c r="BC1" s="54" t="s">
        <v>51</v>
      </c>
      <c r="BD1" s="55" t="s">
        <v>52</v>
      </c>
      <c r="BE1" s="54" t="s">
        <v>53</v>
      </c>
      <c r="BF1" s="55" t="s">
        <v>54</v>
      </c>
      <c r="BG1" s="54" t="s">
        <v>55</v>
      </c>
      <c r="BH1" s="55" t="s">
        <v>56</v>
      </c>
      <c r="BI1" s="55" t="s">
        <v>57</v>
      </c>
    </row>
    <row r="2" spans="1:61" x14ac:dyDescent="0.25">
      <c r="A2" s="3" t="s">
        <v>58</v>
      </c>
      <c r="B2" s="3"/>
      <c r="C2" s="3" t="s">
        <v>146</v>
      </c>
      <c r="D2" s="3" t="s">
        <v>142</v>
      </c>
      <c r="E2" s="4" t="s">
        <v>59</v>
      </c>
      <c r="F2" s="5">
        <v>-1.1233808276614739E-5</v>
      </c>
      <c r="G2" s="6">
        <v>44.721610443008977</v>
      </c>
      <c r="H2" s="7">
        <v>9.9425508443495014E-2</v>
      </c>
      <c r="I2" s="8">
        <v>4.5452771281202766</v>
      </c>
      <c r="J2" s="9">
        <v>0.27425143463570339</v>
      </c>
      <c r="K2" s="8">
        <v>4.6919171496641461</v>
      </c>
      <c r="L2" s="10">
        <v>0.68355477199265346</v>
      </c>
      <c r="M2" s="8">
        <v>2.0728177746079592</v>
      </c>
      <c r="N2" s="11">
        <v>8.9664177216215485E-4</v>
      </c>
      <c r="O2" s="12">
        <v>1.4728960760546355</v>
      </c>
      <c r="P2" s="13">
        <v>1221.4099617967399</v>
      </c>
      <c r="Q2" s="13">
        <v>1041.1002419107642</v>
      </c>
      <c r="R2" s="13">
        <v>245.76406118186662</v>
      </c>
      <c r="S2" s="8">
        <v>60.926125320770538</v>
      </c>
      <c r="T2" s="10">
        <v>0.88050415792563397</v>
      </c>
      <c r="U2" s="14">
        <v>0.59944938707134698</v>
      </c>
      <c r="V2" s="15">
        <v>1375.1821815197516</v>
      </c>
      <c r="W2" s="16">
        <v>70.803337292172131</v>
      </c>
      <c r="X2" s="15">
        <v>1356.6902389501561</v>
      </c>
      <c r="Y2" s="16">
        <v>75.113087518209753</v>
      </c>
      <c r="Z2" s="15">
        <v>1366.3613280430377</v>
      </c>
      <c r="AA2" s="16">
        <v>80.749959041588212</v>
      </c>
      <c r="AB2" s="15">
        <v>1615.4220961925978</v>
      </c>
      <c r="AC2" s="16">
        <v>84.504485151150931</v>
      </c>
      <c r="AD2" s="15">
        <v>1445.952479217837</v>
      </c>
      <c r="AE2" s="16">
        <v>103.55053286676737</v>
      </c>
      <c r="AF2" s="15">
        <v>1278.8626046317333</v>
      </c>
      <c r="AG2" s="16">
        <v>120.72011840135121</v>
      </c>
      <c r="AH2" s="15">
        <v>1498.3843025832796</v>
      </c>
      <c r="AI2" s="16">
        <v>135.33848620013299</v>
      </c>
      <c r="AJ2" s="45">
        <v>16.503326635537601</v>
      </c>
      <c r="AK2" s="17">
        <f>100-(100*V2/AB2)</f>
        <v>14.8716496598053</v>
      </c>
      <c r="AL2" s="7">
        <v>6.5316275489178954E-2</v>
      </c>
      <c r="AM2" s="8">
        <v>9.7414275642865835</v>
      </c>
      <c r="AN2" s="18">
        <v>4.206219806214718</v>
      </c>
      <c r="AO2" s="8">
        <v>5.7173243217915983</v>
      </c>
      <c r="AP2" s="7">
        <v>9.9425508443495014E-2</v>
      </c>
      <c r="AQ2" s="8">
        <v>4.5452771281202766</v>
      </c>
      <c r="AR2" s="18">
        <v>4.2054437521573202</v>
      </c>
      <c r="AS2" s="8">
        <v>5.7173302758328273</v>
      </c>
      <c r="AT2" s="7">
        <v>9.958049862302551E-2</v>
      </c>
      <c r="AU2" s="8">
        <v>4.5378990850814684</v>
      </c>
      <c r="AV2" s="37">
        <v>3.2648538321549112</v>
      </c>
      <c r="AW2" s="8">
        <v>7.2993419970116413</v>
      </c>
      <c r="AX2" s="40">
        <v>0.23778703483717198</v>
      </c>
      <c r="AY2" s="8">
        <v>5.7173302758328273</v>
      </c>
      <c r="AZ2" s="8">
        <v>0.783266529801386</v>
      </c>
      <c r="BA2" s="18">
        <v>4.2355923570547045</v>
      </c>
      <c r="BB2" s="8">
        <v>6.5582796334094873</v>
      </c>
      <c r="BC2" s="9">
        <v>9.3559348883397342E-2</v>
      </c>
      <c r="BD2" s="8">
        <v>7.1565857423855075</v>
      </c>
      <c r="BE2" s="10">
        <v>3.0456101382270524</v>
      </c>
      <c r="BF2" s="8">
        <v>8.8303112640905717</v>
      </c>
      <c r="BG2" s="9">
        <v>0.2360944858950893</v>
      </c>
      <c r="BH2" s="8">
        <v>6.5582796334094873</v>
      </c>
      <c r="BI2" s="19">
        <v>0.6023719636393926</v>
      </c>
    </row>
    <row r="3" spans="1:61" x14ac:dyDescent="0.25">
      <c r="A3" s="3" t="s">
        <v>58</v>
      </c>
      <c r="B3" s="3"/>
      <c r="C3" s="3" t="s">
        <v>142</v>
      </c>
      <c r="D3" s="3" t="s">
        <v>142</v>
      </c>
      <c r="E3" s="4" t="s">
        <v>60</v>
      </c>
      <c r="F3" s="5">
        <v>1.7927639556802096E-4</v>
      </c>
      <c r="G3" s="6">
        <v>40.828487938202798</v>
      </c>
      <c r="H3" s="7">
        <v>6.0271197311145393E-2</v>
      </c>
      <c r="I3" s="8">
        <v>1.7251469187469288</v>
      </c>
      <c r="J3" s="9">
        <v>7.5828999815898052E-2</v>
      </c>
      <c r="K3" s="8">
        <v>3.0039301964574672</v>
      </c>
      <c r="L3" s="10">
        <v>0.20128075156998221</v>
      </c>
      <c r="M3" s="8">
        <v>3.9076602549201485</v>
      </c>
      <c r="N3" s="11">
        <v>1.8008109128487892E-4</v>
      </c>
      <c r="O3" s="12">
        <v>0.3222236602711856</v>
      </c>
      <c r="P3" s="13">
        <v>276.32624891049301</v>
      </c>
      <c r="Q3" s="13">
        <v>162.10901432614224</v>
      </c>
      <c r="R3" s="13">
        <v>19.761847918230664</v>
      </c>
      <c r="S3" s="8">
        <v>1.3821434923893516</v>
      </c>
      <c r="T3" s="10">
        <v>0.60601775060880203</v>
      </c>
      <c r="U3" s="14">
        <v>0.432725108466818</v>
      </c>
      <c r="V3" s="15">
        <v>515.53165346099195</v>
      </c>
      <c r="W3" s="16">
        <v>9.6245294168726847</v>
      </c>
      <c r="X3" s="15">
        <v>515.52449660920524</v>
      </c>
      <c r="Y3" s="16">
        <v>9.7797601797818636</v>
      </c>
      <c r="Z3" s="15">
        <v>546.05645876381038</v>
      </c>
      <c r="AA3" s="16">
        <v>10.520946388750437</v>
      </c>
      <c r="AB3" s="15">
        <v>515.97196428947757</v>
      </c>
      <c r="AC3" s="16">
        <v>56.871809588568055</v>
      </c>
      <c r="AD3" s="15">
        <v>191.5146882094399</v>
      </c>
      <c r="AE3" s="16">
        <v>10.248048633100089</v>
      </c>
      <c r="AF3" s="15">
        <v>191.43102720151344</v>
      </c>
      <c r="AG3" s="16">
        <v>10.378496090176476</v>
      </c>
      <c r="AH3" s="15">
        <v>1712.8507600873131</v>
      </c>
      <c r="AI3" s="16">
        <v>22.324500708916506</v>
      </c>
      <c r="AJ3" s="45">
        <v>8.8793874303505493E-2</v>
      </c>
      <c r="AK3" s="17">
        <f t="shared" ref="AK3:AK55" si="0">100-(100*V3/AB3)</f>
        <v>8.5336192459976701E-2</v>
      </c>
      <c r="AL3" s="7">
        <v>9.5160423948570383E-3</v>
      </c>
      <c r="AM3" s="8">
        <v>5.4472472150971685</v>
      </c>
      <c r="AN3" s="18">
        <v>11.972534401925259</v>
      </c>
      <c r="AO3" s="8">
        <v>1.9381097904663118</v>
      </c>
      <c r="AP3" s="7">
        <v>6.0271197311145393E-2</v>
      </c>
      <c r="AQ3" s="8">
        <v>1.7251469187469288</v>
      </c>
      <c r="AR3" s="18">
        <v>12.011063949020999</v>
      </c>
      <c r="AS3" s="8">
        <v>1.942558516790073</v>
      </c>
      <c r="AT3" s="7">
        <v>5.7662443936366652E-2</v>
      </c>
      <c r="AU3" s="8">
        <v>2.5896819655735448</v>
      </c>
      <c r="AV3" s="37">
        <v>0.66193118309009291</v>
      </c>
      <c r="AW3" s="8">
        <v>3.2372806912546999</v>
      </c>
      <c r="AX3" s="40">
        <v>8.3256571128447643E-2</v>
      </c>
      <c r="AY3" s="8">
        <v>1.942558516790073</v>
      </c>
      <c r="AZ3" s="8">
        <v>0.60005872275387384</v>
      </c>
      <c r="BA3" s="18">
        <v>11.312456725155908</v>
      </c>
      <c r="BB3" s="8">
        <v>2.0094690390612033</v>
      </c>
      <c r="BC3" s="9">
        <v>0.10496364756521563</v>
      </c>
      <c r="BD3" s="8">
        <v>1.2138419739395556</v>
      </c>
      <c r="BE3" s="10">
        <v>1.2793319857842349</v>
      </c>
      <c r="BF3" s="8">
        <v>2.1684110268475369</v>
      </c>
      <c r="BG3" s="9">
        <v>8.8398128213499794E-2</v>
      </c>
      <c r="BH3" s="8">
        <v>2.0094690390612033</v>
      </c>
      <c r="BI3" s="19">
        <v>0.83382696139772106</v>
      </c>
    </row>
    <row r="4" spans="1:61" x14ac:dyDescent="0.25">
      <c r="A4" s="3" t="s">
        <v>61</v>
      </c>
      <c r="B4" s="3"/>
      <c r="C4" s="3"/>
      <c r="D4" s="3" t="s">
        <v>142</v>
      </c>
      <c r="E4" s="4" t="s">
        <v>62</v>
      </c>
      <c r="F4" s="5">
        <v>-1.8468904587511139E-5</v>
      </c>
      <c r="G4" s="6">
        <v>44.721772223478311</v>
      </c>
      <c r="H4" s="7">
        <v>0.1128907015598187</v>
      </c>
      <c r="I4" s="8">
        <v>14.240083779600395</v>
      </c>
      <c r="J4" s="9">
        <v>0.28198975710519653</v>
      </c>
      <c r="K4" s="8">
        <v>14.367584640976327</v>
      </c>
      <c r="L4" s="10">
        <v>0.56904885262289373</v>
      </c>
      <c r="M4" s="8">
        <v>13.018026900163356</v>
      </c>
      <c r="N4" s="11">
        <v>2.4671118130142463E-3</v>
      </c>
      <c r="O4" s="12">
        <v>4.1494764098371899</v>
      </c>
      <c r="P4" s="13">
        <v>837.78555043303197</v>
      </c>
      <c r="Q4" s="13">
        <v>654.66858585718978</v>
      </c>
      <c r="R4" s="13">
        <v>139.75369286125729</v>
      </c>
      <c r="S4" s="8">
        <v>28.261034282283731</v>
      </c>
      <c r="T4" s="10">
        <v>0.80721450595671795</v>
      </c>
      <c r="U4" s="14">
        <v>0.28266098995321398</v>
      </c>
      <c r="V4" s="15">
        <v>1189.6180684195404</v>
      </c>
      <c r="W4" s="16">
        <v>206.28883083459101</v>
      </c>
      <c r="X4" s="15">
        <v>1144.0581845186464</v>
      </c>
      <c r="Y4" s="16">
        <v>210.42307305929717</v>
      </c>
      <c r="Z4" s="15">
        <v>1166.5811396298297</v>
      </c>
      <c r="AA4" s="16">
        <v>234.27070480182203</v>
      </c>
      <c r="AB4" s="15">
        <v>1849.6637518349655</v>
      </c>
      <c r="AC4" s="16">
        <v>256.86311830617603</v>
      </c>
      <c r="AD4" s="15">
        <v>1385.38144053158</v>
      </c>
      <c r="AE4" s="16">
        <v>318.87094753685091</v>
      </c>
      <c r="AF4" s="15">
        <v>951.11473714291242</v>
      </c>
      <c r="AG4" s="16">
        <v>327.48602890918318</v>
      </c>
      <c r="AH4" s="15">
        <v>1540.6344364890224</v>
      </c>
      <c r="AI4" s="16">
        <v>424.80915829570051</v>
      </c>
      <c r="AJ4" s="45">
        <v>39.0170459257129</v>
      </c>
      <c r="AK4" s="17">
        <f t="shared" si="0"/>
        <v>35.684630936872964</v>
      </c>
      <c r="AL4" s="7">
        <v>4.8181126526222195E-2</v>
      </c>
      <c r="AM4" s="8">
        <v>35.248282897078077</v>
      </c>
      <c r="AN4" s="18">
        <v>4.9357962824606796</v>
      </c>
      <c r="AO4" s="8">
        <v>18.989967546202866</v>
      </c>
      <c r="AP4" s="7">
        <v>0.1128907015598187</v>
      </c>
      <c r="AQ4" s="8">
        <v>14.240083779600395</v>
      </c>
      <c r="AR4" s="18">
        <v>4.9342635443827501</v>
      </c>
      <c r="AS4" s="8">
        <v>18.98997262434877</v>
      </c>
      <c r="AT4" s="7">
        <v>0.11314151966745731</v>
      </c>
      <c r="AU4" s="8">
        <v>14.204449139752892</v>
      </c>
      <c r="AV4" s="37">
        <v>3.161556449393196</v>
      </c>
      <c r="AW4" s="8">
        <v>23.714667099441694</v>
      </c>
      <c r="AX4" s="40">
        <v>0.20266448903776474</v>
      </c>
      <c r="AY4" s="8">
        <v>18.98997262434877</v>
      </c>
      <c r="AZ4" s="8">
        <v>0.80076909976087518</v>
      </c>
      <c r="BA4" s="18">
        <v>5.0409752351092818</v>
      </c>
      <c r="BB4" s="8">
        <v>21.953654947376002</v>
      </c>
      <c r="BC4" s="9">
        <v>9.5679159518424137E-2</v>
      </c>
      <c r="BD4" s="8">
        <v>22.590127573172413</v>
      </c>
      <c r="BE4" s="10">
        <v>2.6170020480400811</v>
      </c>
      <c r="BF4" s="8">
        <v>28.014029981815685</v>
      </c>
      <c r="BG4" s="9">
        <v>0.19837431317559751</v>
      </c>
      <c r="BH4" s="8">
        <v>21.953654947376002</v>
      </c>
      <c r="BI4" s="19">
        <v>0.61497743913867142</v>
      </c>
    </row>
    <row r="5" spans="1:61" x14ac:dyDescent="0.25">
      <c r="A5" s="3" t="s">
        <v>61</v>
      </c>
      <c r="B5" s="3"/>
      <c r="C5" s="3"/>
      <c r="D5" s="3" t="s">
        <v>142</v>
      </c>
      <c r="E5" s="4" t="s">
        <v>63</v>
      </c>
      <c r="F5" s="5">
        <v>2.9555749901316897E-6</v>
      </c>
      <c r="G5" s="6">
        <v>100.00014715363943</v>
      </c>
      <c r="H5" s="7">
        <v>9.3957510558607085E-2</v>
      </c>
      <c r="I5" s="8">
        <v>0.45165120814032245</v>
      </c>
      <c r="J5" s="9">
        <v>0.24000863574960546</v>
      </c>
      <c r="K5" s="8">
        <v>0.55665126164827727</v>
      </c>
      <c r="L5" s="10">
        <v>0.70971138538605749</v>
      </c>
      <c r="M5" s="8">
        <v>3.2351432306564245</v>
      </c>
      <c r="N5" s="11">
        <v>1.3631927733593957E-4</v>
      </c>
      <c r="O5" s="12">
        <v>0.22103231177566479</v>
      </c>
      <c r="P5" s="13">
        <v>935.06002719384901</v>
      </c>
      <c r="Q5" s="13">
        <v>745.07988147961964</v>
      </c>
      <c r="R5" s="13">
        <v>205.38203533807689</v>
      </c>
      <c r="S5" s="8">
        <v>48.866468964319125</v>
      </c>
      <c r="T5" s="10">
        <v>0.82312097104423199</v>
      </c>
      <c r="U5" s="14">
        <v>0.44921740194627302</v>
      </c>
      <c r="V5" s="15">
        <v>1470.6459946112966</v>
      </c>
      <c r="W5" s="16">
        <v>12.73512603032861</v>
      </c>
      <c r="X5" s="15">
        <v>1467.8017717989469</v>
      </c>
      <c r="Y5" s="16">
        <v>13.749837955042114</v>
      </c>
      <c r="Z5" s="15">
        <v>1472.3098776889217</v>
      </c>
      <c r="AA5" s="16">
        <v>14.300903467742369</v>
      </c>
      <c r="AB5" s="15">
        <v>1505.5859937153423</v>
      </c>
      <c r="AC5" s="16">
        <v>8.5769025105603021</v>
      </c>
      <c r="AD5" s="15">
        <v>1455.931400458142</v>
      </c>
      <c r="AE5" s="16">
        <v>16.924218413045875</v>
      </c>
      <c r="AF5" s="15">
        <v>1427.9132524706138</v>
      </c>
      <c r="AG5" s="16">
        <v>20.620261414664679</v>
      </c>
      <c r="AH5" s="15">
        <v>1527.1929786587302</v>
      </c>
      <c r="AI5" s="16">
        <v>16.378752886262578</v>
      </c>
      <c r="AJ5" s="45">
        <v>2.5951943905933099</v>
      </c>
      <c r="AK5" s="17">
        <f t="shared" si="0"/>
        <v>2.3206910299307424</v>
      </c>
      <c r="AL5" s="7">
        <v>7.32012541386593E-2</v>
      </c>
      <c r="AM5" s="8">
        <v>1.495693545092307</v>
      </c>
      <c r="AN5" s="18">
        <v>3.9021971610209971</v>
      </c>
      <c r="AO5" s="8">
        <v>0.96847199282410978</v>
      </c>
      <c r="AP5" s="7">
        <v>9.3957510558607085E-2</v>
      </c>
      <c r="AQ5" s="8">
        <v>0.45165120814032245</v>
      </c>
      <c r="AR5" s="18">
        <v>3.9023841734604989</v>
      </c>
      <c r="AS5" s="8">
        <v>0.96848385062439701</v>
      </c>
      <c r="AT5" s="7">
        <v>9.3916492513861485E-2</v>
      </c>
      <c r="AU5" s="8">
        <v>0.45397610343974448</v>
      </c>
      <c r="AV5" s="37">
        <v>3.3182806746390412</v>
      </c>
      <c r="AW5" s="8">
        <v>1.0696051941789517</v>
      </c>
      <c r="AX5" s="40">
        <v>0.25625360178550405</v>
      </c>
      <c r="AY5" s="8">
        <v>0.96848385062439701</v>
      </c>
      <c r="AZ5" s="8">
        <v>0.90545918802107417</v>
      </c>
      <c r="BA5" s="18">
        <v>3.8974518817745034</v>
      </c>
      <c r="BB5" s="8">
        <v>1.0864642671196305</v>
      </c>
      <c r="BC5" s="9">
        <v>9.4998308042358912E-2</v>
      </c>
      <c r="BD5" s="8">
        <v>0.86942550620812031</v>
      </c>
      <c r="BE5" s="10">
        <v>3.3607513601724781</v>
      </c>
      <c r="BF5" s="8">
        <v>1.2185009861046845</v>
      </c>
      <c r="BG5" s="9">
        <v>0.25657789507966977</v>
      </c>
      <c r="BH5" s="8">
        <v>1.0864642671196305</v>
      </c>
      <c r="BI5" s="19">
        <v>0.72109276904003283</v>
      </c>
    </row>
    <row r="6" spans="1:61" x14ac:dyDescent="0.25">
      <c r="A6" s="3" t="s">
        <v>61</v>
      </c>
      <c r="B6" s="3"/>
      <c r="C6" s="3"/>
      <c r="D6" s="3" t="s">
        <v>142</v>
      </c>
      <c r="E6" s="4" t="s">
        <v>64</v>
      </c>
      <c r="F6" s="5">
        <v>4.5606449054612475E-5</v>
      </c>
      <c r="G6" s="6">
        <v>70.712290266569383</v>
      </c>
      <c r="H6" s="7">
        <v>9.4815165442756352E-2</v>
      </c>
      <c r="I6" s="8">
        <v>1.2398673606934953</v>
      </c>
      <c r="J6" s="9">
        <v>6.2125909850670735E-2</v>
      </c>
      <c r="K6" s="8">
        <v>2.8598619529641387</v>
      </c>
      <c r="L6" s="10">
        <v>0.65334588385269921</v>
      </c>
      <c r="M6" s="8">
        <v>1.4765512553369033</v>
      </c>
      <c r="N6" s="11">
        <v>6.0283442807856262E-4</v>
      </c>
      <c r="O6" s="12">
        <v>0.99138728914619312</v>
      </c>
      <c r="P6" s="13">
        <v>123.364620121055</v>
      </c>
      <c r="Q6" s="13">
        <v>25.722059153843144</v>
      </c>
      <c r="R6" s="13">
        <v>24.596388186083907</v>
      </c>
      <c r="S6" s="8">
        <v>1.0125564676461087</v>
      </c>
      <c r="T6" s="10">
        <v>0.21538498703961101</v>
      </c>
      <c r="U6" s="14">
        <v>0.91232318172510696</v>
      </c>
      <c r="V6" s="15">
        <v>1356.7605813545981</v>
      </c>
      <c r="W6" s="16">
        <v>16.152565861868894</v>
      </c>
      <c r="X6" s="15">
        <v>1345.5304623871123</v>
      </c>
      <c r="Y6" s="16">
        <v>17.205048394288223</v>
      </c>
      <c r="Z6" s="15">
        <v>1358.6580219338207</v>
      </c>
      <c r="AA6" s="16">
        <v>16.637893581559211</v>
      </c>
      <c r="AB6" s="15">
        <v>1510.9148709569847</v>
      </c>
      <c r="AC6" s="16">
        <v>25.236249137894418</v>
      </c>
      <c r="AD6" s="15">
        <v>1288.5650967153608</v>
      </c>
      <c r="AE6" s="16">
        <v>47.462849079180486</v>
      </c>
      <c r="AF6" s="15">
        <v>869.09580123134299</v>
      </c>
      <c r="AG6" s="16">
        <v>85.483460126022251</v>
      </c>
      <c r="AH6" s="15">
        <v>1536.9028107609076</v>
      </c>
      <c r="AI6" s="16">
        <v>25.068957384620472</v>
      </c>
      <c r="AJ6" s="45">
        <v>11.3092755397867</v>
      </c>
      <c r="AK6" s="17">
        <f t="shared" si="0"/>
        <v>10.202711785128457</v>
      </c>
      <c r="AL6" s="7">
        <v>4.3936344359625901E-2</v>
      </c>
      <c r="AM6" s="8">
        <v>10.048887726104175</v>
      </c>
      <c r="AN6" s="18">
        <v>4.2656520425292648</v>
      </c>
      <c r="AO6" s="8">
        <v>1.3191318723985666</v>
      </c>
      <c r="AP6" s="7">
        <v>9.4815165442756352E-2</v>
      </c>
      <c r="AQ6" s="8">
        <v>1.2398673606934953</v>
      </c>
      <c r="AR6" s="18">
        <v>4.2688537587450259</v>
      </c>
      <c r="AS6" s="8">
        <v>1.3201991828395438</v>
      </c>
      <c r="AT6" s="7">
        <v>9.4181859783521116E-2</v>
      </c>
      <c r="AU6" s="8">
        <v>1.336706497634607</v>
      </c>
      <c r="AV6" s="37">
        <v>3.0419863412630708</v>
      </c>
      <c r="AW6" s="8">
        <v>1.8787522836150532</v>
      </c>
      <c r="AX6" s="40">
        <v>0.23425492099639969</v>
      </c>
      <c r="AY6" s="8">
        <v>1.3201991828395438</v>
      </c>
      <c r="AZ6" s="8">
        <v>0.70269997505964232</v>
      </c>
      <c r="BA6" s="18">
        <v>4.2622427425646814</v>
      </c>
      <c r="BB6" s="8">
        <v>1.3581602465768026</v>
      </c>
      <c r="BC6" s="9">
        <v>9.5489531568952221E-2</v>
      </c>
      <c r="BD6" s="8">
        <v>1.3324370407301187</v>
      </c>
      <c r="BE6" s="10">
        <v>3.0890067525353602</v>
      </c>
      <c r="BF6" s="8">
        <v>1.8050117827389207</v>
      </c>
      <c r="BG6" s="9">
        <v>0.23461826564065635</v>
      </c>
      <c r="BH6" s="8">
        <v>1.3581602465768026</v>
      </c>
      <c r="BI6" s="19">
        <v>0.67862222586869358</v>
      </c>
    </row>
    <row r="7" spans="1:61" x14ac:dyDescent="0.25">
      <c r="A7" s="3" t="s">
        <v>61</v>
      </c>
      <c r="B7" s="3"/>
      <c r="C7" s="3"/>
      <c r="D7" s="3" t="s">
        <v>142</v>
      </c>
      <c r="E7" s="4" t="s">
        <v>65</v>
      </c>
      <c r="F7" s="5">
        <v>-1.2936088893451109E-12</v>
      </c>
      <c r="G7" s="20">
        <v>9999</v>
      </c>
      <c r="H7" s="7">
        <v>6.9620265139117898E-2</v>
      </c>
      <c r="I7" s="8">
        <v>1.7884297362806678</v>
      </c>
      <c r="J7" s="9">
        <v>9.0804267006915296E-2</v>
      </c>
      <c r="K7" s="8">
        <v>3.0245950556842129</v>
      </c>
      <c r="L7" s="10">
        <v>0.33669201426007245</v>
      </c>
      <c r="M7" s="8">
        <v>3.5724694245915067</v>
      </c>
      <c r="N7" s="11">
        <v>4.1116035484254845E-4</v>
      </c>
      <c r="O7" s="12">
        <v>0.72098843397125412</v>
      </c>
      <c r="P7" s="13">
        <v>154.00978020282301</v>
      </c>
      <c r="Q7" s="13">
        <v>51.103477641106991</v>
      </c>
      <c r="R7" s="13">
        <v>15.866608381568065</v>
      </c>
      <c r="S7" s="8">
        <v>1.2180129573656089</v>
      </c>
      <c r="T7" s="10">
        <v>0.342769740556359</v>
      </c>
      <c r="U7" s="14">
        <v>0.69655343034245698</v>
      </c>
      <c r="V7" s="15">
        <v>735.19579360305431</v>
      </c>
      <c r="W7" s="16">
        <v>8.7789479664185226</v>
      </c>
      <c r="X7" s="15">
        <v>730.18426273249474</v>
      </c>
      <c r="Y7" s="16">
        <v>9.0126677498394763</v>
      </c>
      <c r="Z7" s="15">
        <v>740.10271534446531</v>
      </c>
      <c r="AA7" s="16">
        <v>9.2692892748175453</v>
      </c>
      <c r="AB7" s="15">
        <v>916.24900525624025</v>
      </c>
      <c r="AC7" s="16">
        <v>36.79155623519128</v>
      </c>
      <c r="AD7" s="15">
        <v>636.71453137790365</v>
      </c>
      <c r="AE7" s="16">
        <v>21.004255828437532</v>
      </c>
      <c r="AF7" s="15">
        <v>530.65536080938159</v>
      </c>
      <c r="AG7" s="16">
        <v>29.402362315838783</v>
      </c>
      <c r="AH7" s="15">
        <v>1077.0853645179945</v>
      </c>
      <c r="AI7" s="16">
        <v>35.946846388965582</v>
      </c>
      <c r="AJ7" s="45">
        <v>20.9028995407532</v>
      </c>
      <c r="AK7" s="17">
        <f t="shared" si="0"/>
        <v>19.760262834070105</v>
      </c>
      <c r="AL7" s="7">
        <v>2.6601850788977366E-2</v>
      </c>
      <c r="AM7" s="8">
        <v>5.6138165634491113</v>
      </c>
      <c r="AN7" s="18">
        <v>8.2777976681770813</v>
      </c>
      <c r="AO7" s="8">
        <v>1.2634823123257846</v>
      </c>
      <c r="AP7" s="7">
        <v>6.9620265139117898E-2</v>
      </c>
      <c r="AQ7" s="8">
        <v>1.7884297362806678</v>
      </c>
      <c r="AR7" s="18">
        <v>8.2777976679893079</v>
      </c>
      <c r="AS7" s="8">
        <v>1.263482312325805</v>
      </c>
      <c r="AT7" s="7">
        <v>6.9620265157661579E-2</v>
      </c>
      <c r="AU7" s="8">
        <v>1.7884297357657257</v>
      </c>
      <c r="AV7" s="37">
        <v>1.1596372060480735</v>
      </c>
      <c r="AW7" s="8">
        <v>2.1897188114758541</v>
      </c>
      <c r="AX7" s="40">
        <v>0.12080507885171611</v>
      </c>
      <c r="AY7" s="8">
        <v>1.263482312325805</v>
      </c>
      <c r="AZ7" s="8">
        <v>0.57700664838981186</v>
      </c>
      <c r="BA7" s="18">
        <v>8.2197267749313987</v>
      </c>
      <c r="BB7" s="8">
        <v>1.3257031288615015</v>
      </c>
      <c r="BC7" s="9">
        <v>7.5355081165639298E-2</v>
      </c>
      <c r="BD7" s="8">
        <v>1.7907696537026383</v>
      </c>
      <c r="BE7" s="10">
        <v>1.2640272451397947</v>
      </c>
      <c r="BF7" s="8">
        <v>2.1050513741274575</v>
      </c>
      <c r="BG7" s="9">
        <v>0.12165854503215479</v>
      </c>
      <c r="BH7" s="8">
        <v>1.3257031288615015</v>
      </c>
      <c r="BI7" s="19">
        <v>0.53425713343019243</v>
      </c>
    </row>
    <row r="8" spans="1:61" x14ac:dyDescent="0.25">
      <c r="A8" s="3" t="s">
        <v>61</v>
      </c>
      <c r="B8" s="3"/>
      <c r="C8" s="3" t="s">
        <v>146</v>
      </c>
      <c r="D8" s="3" t="s">
        <v>142</v>
      </c>
      <c r="E8" s="4" t="s">
        <v>66</v>
      </c>
      <c r="F8" s="5">
        <v>-1.4764292559147612E-14</v>
      </c>
      <c r="G8" s="20">
        <v>9999</v>
      </c>
      <c r="H8" s="7">
        <v>9.3663179733075308E-2</v>
      </c>
      <c r="I8" s="8">
        <v>0.45176694644265719</v>
      </c>
      <c r="J8" s="9">
        <v>0.27486075652021619</v>
      </c>
      <c r="K8" s="8">
        <v>0.52431368126782263</v>
      </c>
      <c r="L8" s="10">
        <v>0.673313210533381</v>
      </c>
      <c r="M8" s="8">
        <v>2.9742198528138237</v>
      </c>
      <c r="N8" s="11">
        <v>2.8908482840383414E-4</v>
      </c>
      <c r="O8" s="12">
        <v>0.47151693035667136</v>
      </c>
      <c r="P8" s="13">
        <v>975.60394543595703</v>
      </c>
      <c r="Q8" s="13">
        <v>880.8002723472888</v>
      </c>
      <c r="R8" s="13">
        <v>205.9919672010555</v>
      </c>
      <c r="S8" s="8">
        <v>55.267576052831139</v>
      </c>
      <c r="T8" s="10">
        <v>0.93261890297928995</v>
      </c>
      <c r="U8" s="14">
        <v>0.26709975310645501</v>
      </c>
      <c r="V8" s="15">
        <v>1422.807118441096</v>
      </c>
      <c r="W8" s="16">
        <v>14.651789981172776</v>
      </c>
      <c r="X8" s="15">
        <v>1416.7842950320207</v>
      </c>
      <c r="Y8" s="16">
        <v>15.704471569881346</v>
      </c>
      <c r="Z8" s="15">
        <v>1423.1651602544318</v>
      </c>
      <c r="AA8" s="16">
        <v>16.737315429292973</v>
      </c>
      <c r="AB8" s="15">
        <v>1500.4815654634319</v>
      </c>
      <c r="AC8" s="16">
        <v>8.5409875135875755</v>
      </c>
      <c r="AD8" s="15">
        <v>1420.0810959675148</v>
      </c>
      <c r="AE8" s="16">
        <v>17.685717739163763</v>
      </c>
      <c r="AF8" s="15">
        <v>1368.1573842710893</v>
      </c>
      <c r="AG8" s="16">
        <v>20.379339951440375</v>
      </c>
      <c r="AH8" s="15">
        <v>1505.2924256041572</v>
      </c>
      <c r="AI8" s="16">
        <v>17.096466868569145</v>
      </c>
      <c r="AJ8" s="45">
        <v>5.7676300576573798</v>
      </c>
      <c r="AK8" s="17">
        <f t="shared" si="0"/>
        <v>5.1766345425473901</v>
      </c>
      <c r="AL8" s="7">
        <v>7.0033104292996695E-2</v>
      </c>
      <c r="AM8" s="8">
        <v>1.5405285572731016</v>
      </c>
      <c r="AN8" s="18">
        <v>4.0491494989502925</v>
      </c>
      <c r="AO8" s="8">
        <v>1.1476004481288387</v>
      </c>
      <c r="AP8" s="7">
        <v>9.3663179733075308E-2</v>
      </c>
      <c r="AQ8" s="8">
        <v>0.45176694644265719</v>
      </c>
      <c r="AR8" s="18">
        <v>4.0491494989493164</v>
      </c>
      <c r="AS8" s="8">
        <v>1.1476004481288387</v>
      </c>
      <c r="AT8" s="7">
        <v>9.3663179733280352E-2</v>
      </c>
      <c r="AU8" s="8">
        <v>0.45176694644155996</v>
      </c>
      <c r="AV8" s="37">
        <v>3.1893806896919279</v>
      </c>
      <c r="AW8" s="8">
        <v>1.2333207865120261</v>
      </c>
      <c r="AX8" s="40">
        <v>0.24696544305402468</v>
      </c>
      <c r="AY8" s="8">
        <v>1.1476004481288387</v>
      </c>
      <c r="AZ8" s="8">
        <v>0.9304963158647358</v>
      </c>
      <c r="BA8" s="18">
        <v>4.0480142584748151</v>
      </c>
      <c r="BB8" s="8">
        <v>1.3106543350894482</v>
      </c>
      <c r="BC8" s="9">
        <v>9.3901900641857675E-2</v>
      </c>
      <c r="BD8" s="8">
        <v>0.90488182841487819</v>
      </c>
      <c r="BE8" s="10">
        <v>3.1984062391562564</v>
      </c>
      <c r="BF8" s="8">
        <v>1.3533862984009497</v>
      </c>
      <c r="BG8" s="9">
        <v>0.24703470297972063</v>
      </c>
      <c r="BH8" s="8">
        <v>1.3106543350894482</v>
      </c>
      <c r="BI8" s="19">
        <v>0.76971046752023209</v>
      </c>
    </row>
    <row r="9" spans="1:61" x14ac:dyDescent="0.25">
      <c r="A9" s="3" t="s">
        <v>58</v>
      </c>
      <c r="B9" s="3"/>
      <c r="C9" s="3" t="s">
        <v>142</v>
      </c>
      <c r="D9" s="3" t="s">
        <v>142</v>
      </c>
      <c r="E9" s="4" t="s">
        <v>67</v>
      </c>
      <c r="F9" s="5">
        <v>3.0879353611929804E-5</v>
      </c>
      <c r="G9" s="6">
        <v>100.00154383075966</v>
      </c>
      <c r="H9" s="7">
        <v>6.2515497046617172E-2</v>
      </c>
      <c r="I9" s="8">
        <v>1.741289799285312</v>
      </c>
      <c r="J9" s="9">
        <v>9.0192573160463044E-2</v>
      </c>
      <c r="K9" s="8">
        <v>2.838725373765286</v>
      </c>
      <c r="L9" s="10">
        <v>0.25987860256686734</v>
      </c>
      <c r="M9" s="8">
        <v>2.5657079541670234</v>
      </c>
      <c r="N9" s="11">
        <v>1.0068525480124677E-4</v>
      </c>
      <c r="O9" s="12">
        <v>0.1780788396654317</v>
      </c>
      <c r="P9" s="13">
        <v>242.06014346828999</v>
      </c>
      <c r="Q9" s="13">
        <v>80.526684294055769</v>
      </c>
      <c r="R9" s="13">
        <v>21.712273318141079</v>
      </c>
      <c r="S9" s="8">
        <v>1.8980324532965644</v>
      </c>
      <c r="T9" s="10">
        <v>0.34365039896234201</v>
      </c>
      <c r="U9" s="14">
        <v>1.1299906535462401</v>
      </c>
      <c r="V9" s="15">
        <v>641.02090197186669</v>
      </c>
      <c r="W9" s="16">
        <v>11.265065866659043</v>
      </c>
      <c r="X9" s="15">
        <v>640.26709600997924</v>
      </c>
      <c r="Y9" s="16">
        <v>11.520121864493939</v>
      </c>
      <c r="Z9" s="15">
        <v>646.11624280420267</v>
      </c>
      <c r="AA9" s="16">
        <v>11.869528614705967</v>
      </c>
      <c r="AB9" s="15">
        <v>675.51389507064391</v>
      </c>
      <c r="AC9" s="16">
        <v>40.556473466866777</v>
      </c>
      <c r="AD9" s="15">
        <v>540.51528850556861</v>
      </c>
      <c r="AE9" s="16">
        <v>20.258186851022273</v>
      </c>
      <c r="AF9" s="15">
        <v>524.85281347976877</v>
      </c>
      <c r="AG9" s="16">
        <v>25.783018717612226</v>
      </c>
      <c r="AH9" s="15">
        <v>893.22057221131183</v>
      </c>
      <c r="AI9" s="16">
        <v>40.082710495901893</v>
      </c>
      <c r="AJ9" s="45">
        <v>5.36402995925949</v>
      </c>
      <c r="AK9" s="17">
        <f t="shared" si="0"/>
        <v>5.1061855796719016</v>
      </c>
      <c r="AL9" s="7">
        <v>2.6307175173056807E-2</v>
      </c>
      <c r="AM9" s="8">
        <v>4.9764851823950886</v>
      </c>
      <c r="AN9" s="18">
        <v>9.5595418069016294</v>
      </c>
      <c r="AO9" s="8">
        <v>1.8453768388957745</v>
      </c>
      <c r="AP9" s="7">
        <v>6.2515497046617172E-2</v>
      </c>
      <c r="AQ9" s="8">
        <v>1.741289799285312</v>
      </c>
      <c r="AR9" s="18">
        <v>9.564765636209076</v>
      </c>
      <c r="AS9" s="8">
        <v>1.8461857615039963</v>
      </c>
      <c r="AT9" s="7">
        <v>6.2068667339884767E-2</v>
      </c>
      <c r="AU9" s="8">
        <v>1.8968653475478576</v>
      </c>
      <c r="AV9" s="37">
        <v>0.89474516975360219</v>
      </c>
      <c r="AW9" s="8">
        <v>2.6469794129739554</v>
      </c>
      <c r="AX9" s="40">
        <v>0.10455039234984774</v>
      </c>
      <c r="AY9" s="8">
        <v>1.8461857615039963</v>
      </c>
      <c r="AZ9" s="8">
        <v>0.69746887809367386</v>
      </c>
      <c r="BA9" s="18">
        <v>9.4855250057095066</v>
      </c>
      <c r="BB9" s="8">
        <v>1.9306584339686947</v>
      </c>
      <c r="BC9" s="9">
        <v>6.8846658274031691E-2</v>
      </c>
      <c r="BD9" s="8">
        <v>1.9414233478513587</v>
      </c>
      <c r="BE9" s="10">
        <v>1.0007434735673291</v>
      </c>
      <c r="BF9" s="8">
        <v>2.5158576316766177</v>
      </c>
      <c r="BG9" s="9">
        <v>0.10542379039621763</v>
      </c>
      <c r="BH9" s="8">
        <v>1.9306584339686947</v>
      </c>
      <c r="BI9" s="19">
        <v>0.64726355226039534</v>
      </c>
    </row>
    <row r="10" spans="1:61" x14ac:dyDescent="0.25">
      <c r="A10" s="3" t="s">
        <v>61</v>
      </c>
      <c r="B10" s="3"/>
      <c r="C10" s="3" t="s">
        <v>146</v>
      </c>
      <c r="D10" s="3" t="s">
        <v>142</v>
      </c>
      <c r="E10" s="4" t="s">
        <v>68</v>
      </c>
      <c r="F10" s="5">
        <v>-8.0418495658220225E-6</v>
      </c>
      <c r="G10" s="6">
        <v>57.735258994527364</v>
      </c>
      <c r="H10" s="7">
        <v>9.1020628926747726E-2</v>
      </c>
      <c r="I10" s="8">
        <v>0.43787353690287439</v>
      </c>
      <c r="J10" s="9">
        <v>6.7378233470336613E-2</v>
      </c>
      <c r="K10" s="8">
        <v>3.024982927590421</v>
      </c>
      <c r="L10" s="10">
        <v>0.64171513986679118</v>
      </c>
      <c r="M10" s="8">
        <v>3.1797876702249996</v>
      </c>
      <c r="N10" s="11">
        <v>3.3367696678114064E-4</v>
      </c>
      <c r="O10" s="12">
        <v>0.54874620316902067</v>
      </c>
      <c r="P10" s="13">
        <v>1123.6523731560501</v>
      </c>
      <c r="Q10" s="13">
        <v>274.95306223314526</v>
      </c>
      <c r="R10" s="13">
        <v>223.94070531696897</v>
      </c>
      <c r="S10" s="8">
        <v>12.580945686396953</v>
      </c>
      <c r="T10" s="10">
        <v>0.252770803561854</v>
      </c>
      <c r="U10" s="14">
        <v>1.22163350765339</v>
      </c>
      <c r="V10" s="15">
        <v>1351.8844370337445</v>
      </c>
      <c r="W10" s="16">
        <v>15.759071438905837</v>
      </c>
      <c r="X10" s="15">
        <v>1345.0282191735021</v>
      </c>
      <c r="Y10" s="16">
        <v>16.765090730134922</v>
      </c>
      <c r="Z10" s="15">
        <v>1356.060308654648</v>
      </c>
      <c r="AA10" s="16">
        <v>16.320584948117972</v>
      </c>
      <c r="AB10" s="15">
        <v>1448.5208192552548</v>
      </c>
      <c r="AC10" s="16">
        <v>8.434092918938763</v>
      </c>
      <c r="AD10" s="15">
        <v>1224.4754844232268</v>
      </c>
      <c r="AE10" s="16">
        <v>41.794250458364687</v>
      </c>
      <c r="AF10" s="15">
        <v>1006.7430237273109</v>
      </c>
      <c r="AG10" s="16">
        <v>52.688841977918628</v>
      </c>
      <c r="AH10" s="15">
        <v>1507.7766384554532</v>
      </c>
      <c r="AI10" s="16">
        <v>16.729276795948156</v>
      </c>
      <c r="AJ10" s="45">
        <v>7.3934116862003103</v>
      </c>
      <c r="AK10" s="17">
        <f t="shared" si="0"/>
        <v>6.671383727242187</v>
      </c>
      <c r="AL10" s="7">
        <v>5.1069914008789796E-2</v>
      </c>
      <c r="AM10" s="8">
        <v>5.3650149286671169</v>
      </c>
      <c r="AN10" s="18">
        <v>4.2864953622898287</v>
      </c>
      <c r="AO10" s="8">
        <v>1.2921892584992376</v>
      </c>
      <c r="AP10" s="7">
        <v>9.1020628926747726E-2</v>
      </c>
      <c r="AQ10" s="8">
        <v>0.43787353690287439</v>
      </c>
      <c r="AR10" s="18">
        <v>4.2859285409792607</v>
      </c>
      <c r="AS10" s="8">
        <v>1.292211811791502</v>
      </c>
      <c r="AT10" s="7">
        <v>9.1132703864011511E-2</v>
      </c>
      <c r="AU10" s="8">
        <v>0.44300273135420065</v>
      </c>
      <c r="AV10" s="37">
        <v>2.9317747808037264</v>
      </c>
      <c r="AW10" s="8">
        <v>1.366039086747066</v>
      </c>
      <c r="AX10" s="40">
        <v>0.23332166890760089</v>
      </c>
      <c r="AY10" s="8">
        <v>1.292211811791502</v>
      </c>
      <c r="AZ10" s="8">
        <v>0.9459552250943507</v>
      </c>
      <c r="BA10" s="18">
        <v>4.2712983229687254</v>
      </c>
      <c r="BB10" s="8">
        <v>1.3345508004375206</v>
      </c>
      <c r="BC10" s="9">
        <v>9.4025468717970906E-2</v>
      </c>
      <c r="BD10" s="8">
        <v>0.88574081590902076</v>
      </c>
      <c r="BE10" s="10">
        <v>3.0351969463521717</v>
      </c>
      <c r="BF10" s="8">
        <v>1.3993694924434059</v>
      </c>
      <c r="BG10" s="9">
        <v>0.23412085141010697</v>
      </c>
      <c r="BH10" s="8">
        <v>1.3345508004375206</v>
      </c>
      <c r="BI10" s="19">
        <v>0.79107819809817104</v>
      </c>
    </row>
    <row r="11" spans="1:61" x14ac:dyDescent="0.25">
      <c r="A11" s="3" t="s">
        <v>58</v>
      </c>
      <c r="B11" s="3"/>
      <c r="C11" s="3" t="s">
        <v>146</v>
      </c>
      <c r="D11" s="3" t="s">
        <v>142</v>
      </c>
      <c r="E11" s="21" t="s">
        <v>69</v>
      </c>
      <c r="F11" s="22">
        <v>2.8200559663259263E-5</v>
      </c>
      <c r="G11" s="23">
        <v>70.711674002909405</v>
      </c>
      <c r="H11" s="24">
        <v>8.5294789644825383E-2</v>
      </c>
      <c r="I11" s="25">
        <v>1.0165717674410544</v>
      </c>
      <c r="J11" s="26">
        <v>5.683680207909967E-2</v>
      </c>
      <c r="K11" s="25">
        <v>4.844496912836382</v>
      </c>
      <c r="L11" s="27">
        <v>0.40870653910572408</v>
      </c>
      <c r="M11" s="25">
        <v>1.3405643281428954</v>
      </c>
      <c r="N11" s="28">
        <v>1.1743729302888708E-3</v>
      </c>
      <c r="O11" s="29">
        <v>2.0291600136515311</v>
      </c>
      <c r="P11" s="30">
        <v>318.81066447743001</v>
      </c>
      <c r="Q11" s="30">
        <v>239.4212762072747</v>
      </c>
      <c r="R11" s="30">
        <v>40.107646170822129</v>
      </c>
      <c r="S11" s="25">
        <v>0.55388130376515599</v>
      </c>
      <c r="T11" s="27">
        <v>0.77576507275095796</v>
      </c>
      <c r="U11" s="31">
        <v>3.2939713543060498</v>
      </c>
      <c r="V11" s="32">
        <v>897.68031886896927</v>
      </c>
      <c r="W11" s="33">
        <v>13.82164864400276</v>
      </c>
      <c r="X11" s="32">
        <v>881.05515328658498</v>
      </c>
      <c r="Y11" s="33">
        <v>14.069734616195024</v>
      </c>
      <c r="Z11" s="32">
        <v>975.89250571815694</v>
      </c>
      <c r="AA11" s="33">
        <v>15.321449692231164</v>
      </c>
      <c r="AB11" s="32">
        <v>1312.3404139571981</v>
      </c>
      <c r="AC11" s="33">
        <v>20.834586237901675</v>
      </c>
      <c r="AD11" s="32">
        <v>216.14714308885561</v>
      </c>
      <c r="AE11" s="33">
        <v>13.389633272559601</v>
      </c>
      <c r="AF11" s="32">
        <v>52.121688833790706</v>
      </c>
      <c r="AG11" s="33">
        <v>13.129251825177693</v>
      </c>
      <c r="AH11" s="32">
        <v>2398.6243407520255</v>
      </c>
      <c r="AI11" s="33">
        <v>35.05708322474468</v>
      </c>
      <c r="AJ11" s="46">
        <v>33.822776326205997</v>
      </c>
      <c r="AK11" s="17">
        <f t="shared" si="0"/>
        <v>31.596991960178471</v>
      </c>
      <c r="AL11" s="24">
        <v>2.5820483147416251E-3</v>
      </c>
      <c r="AM11" s="25">
        <v>25.222105673609242</v>
      </c>
      <c r="AN11" s="34">
        <v>6.6895308513563512</v>
      </c>
      <c r="AO11" s="25">
        <v>1.6490383773859372</v>
      </c>
      <c r="AP11" s="24">
        <v>8.5294789644825383E-2</v>
      </c>
      <c r="AQ11" s="25">
        <v>1.0165717674410544</v>
      </c>
      <c r="AR11" s="34">
        <v>6.6927920354942811</v>
      </c>
      <c r="AS11" s="25">
        <v>1.6493986517503387</v>
      </c>
      <c r="AT11" s="24">
        <v>8.4898130529746513E-2</v>
      </c>
      <c r="AU11" s="25">
        <v>1.0739508118923096</v>
      </c>
      <c r="AV11" s="38">
        <v>1.7490091094063025</v>
      </c>
      <c r="AW11" s="25">
        <v>1.9682190576152814</v>
      </c>
      <c r="AX11" s="41">
        <v>0.14941447376470696</v>
      </c>
      <c r="AY11" s="25">
        <v>1.6493986517503387</v>
      </c>
      <c r="AZ11" s="25">
        <v>0.838015791671467</v>
      </c>
      <c r="BA11" s="34">
        <v>6.1182707228773783</v>
      </c>
      <c r="BB11" s="25">
        <v>1.6918277928665426</v>
      </c>
      <c r="BC11" s="26">
        <v>0.15477738475707994</v>
      </c>
      <c r="BD11" s="25">
        <v>2.0613897963179095</v>
      </c>
      <c r="BE11" s="27">
        <v>3.4880290161906733</v>
      </c>
      <c r="BF11" s="25">
        <v>2.9141603792591293</v>
      </c>
      <c r="BG11" s="26">
        <v>0.1634448760596372</v>
      </c>
      <c r="BH11" s="25">
        <v>1.6918277928665426</v>
      </c>
      <c r="BI11" s="35">
        <v>0.72057940908442808</v>
      </c>
    </row>
    <row r="12" spans="1:61" x14ac:dyDescent="0.25">
      <c r="A12" s="3" t="s">
        <v>72</v>
      </c>
      <c r="B12" s="3" t="s">
        <v>142</v>
      </c>
      <c r="C12" s="3" t="s">
        <v>146</v>
      </c>
      <c r="D12" s="3" t="s">
        <v>142</v>
      </c>
      <c r="E12" s="4" t="s">
        <v>71</v>
      </c>
      <c r="F12" s="5">
        <v>-5.3878933418922547E-5</v>
      </c>
      <c r="G12" s="6">
        <v>57.736581551198263</v>
      </c>
      <c r="H12" s="7">
        <v>5.8226673524175529E-2</v>
      </c>
      <c r="I12" s="8">
        <v>1.3726136882061806</v>
      </c>
      <c r="J12" s="9">
        <v>0.3167401829721182</v>
      </c>
      <c r="K12" s="8">
        <v>1.2167008248220523</v>
      </c>
      <c r="L12" s="10">
        <v>0.24067536907421266</v>
      </c>
      <c r="M12" s="8">
        <v>3.6571519038938121</v>
      </c>
      <c r="N12" s="11">
        <v>-6.9674560476959641E-5</v>
      </c>
      <c r="O12" s="12">
        <v>-0.12398309650161864</v>
      </c>
      <c r="P12" s="13">
        <v>417.85395577096801</v>
      </c>
      <c r="Q12" s="13">
        <v>399.85877595975393</v>
      </c>
      <c r="R12" s="13">
        <v>33.480869989097791</v>
      </c>
      <c r="S12" s="8">
        <v>10.782804310323311</v>
      </c>
      <c r="T12" s="10">
        <v>0.98851311531636399</v>
      </c>
      <c r="U12" s="14">
        <v>0.331875929491462</v>
      </c>
      <c r="V12" s="15">
        <v>574.73996305809146</v>
      </c>
      <c r="W12" s="16">
        <v>9.4172674511545758</v>
      </c>
      <c r="X12" s="15">
        <v>574.89436716911212</v>
      </c>
      <c r="Y12" s="16">
        <v>9.6065279671547614</v>
      </c>
      <c r="Z12" s="15">
        <v>570.88805456036766</v>
      </c>
      <c r="AA12" s="16">
        <v>11.13693047964415</v>
      </c>
      <c r="AB12" s="15">
        <v>566.46095766201518</v>
      </c>
      <c r="AC12" s="16">
        <v>33.844779017852083</v>
      </c>
      <c r="AD12" s="15">
        <v>598.27209725414934</v>
      </c>
      <c r="AE12" s="16">
        <v>12.718838420135206</v>
      </c>
      <c r="AF12" s="15">
        <v>599.36935702025937</v>
      </c>
      <c r="AG12" s="16">
        <v>13.202935092613156</v>
      </c>
      <c r="AH12" s="15">
        <v>338.53920824891588</v>
      </c>
      <c r="AI12" s="16">
        <v>83.05418299184818</v>
      </c>
      <c r="AJ12" s="45">
        <v>-1.5276666311265601</v>
      </c>
      <c r="AK12" s="17">
        <f t="shared" si="0"/>
        <v>-1.4615315114119483</v>
      </c>
      <c r="AL12" s="7">
        <v>3.0097851245642904E-2</v>
      </c>
      <c r="AM12" s="8">
        <v>2.2356266650031689</v>
      </c>
      <c r="AN12" s="18">
        <v>10.733937581997736</v>
      </c>
      <c r="AO12" s="8">
        <v>1.7117614618237653</v>
      </c>
      <c r="AP12" s="7">
        <v>5.8226673524175529E-2</v>
      </c>
      <c r="AQ12" s="8">
        <v>1.3726136882061806</v>
      </c>
      <c r="AR12" s="18">
        <v>10.723656232695859</v>
      </c>
      <c r="AS12" s="8">
        <v>1.712654556932838</v>
      </c>
      <c r="AT12" s="7">
        <v>5.9009326954955872E-2</v>
      </c>
      <c r="AU12" s="8">
        <v>1.5544113823042134</v>
      </c>
      <c r="AV12" s="37">
        <v>0.75871566786544831</v>
      </c>
      <c r="AW12" s="8">
        <v>2.3128727541349332</v>
      </c>
      <c r="AX12" s="40">
        <v>9.3251777033942315E-2</v>
      </c>
      <c r="AY12" s="8">
        <v>1.712654556932838</v>
      </c>
      <c r="AZ12" s="8">
        <v>0.74048801598400493</v>
      </c>
      <c r="BA12" s="18">
        <v>10.799284836496282</v>
      </c>
      <c r="BB12" s="8">
        <v>2.0384637291571361</v>
      </c>
      <c r="BC12" s="9">
        <v>5.325220456843003E-2</v>
      </c>
      <c r="BD12" s="8">
        <v>3.6668119134761499</v>
      </c>
      <c r="BE12" s="10">
        <v>0.67989816706022765</v>
      </c>
      <c r="BF12" s="8">
        <v>4.1691681825553681</v>
      </c>
      <c r="BG12" s="9">
        <v>9.2598724372978003E-2</v>
      </c>
      <c r="BH12" s="8">
        <v>2.0384637291571361</v>
      </c>
      <c r="BI12" s="19">
        <v>0.47606044982442491</v>
      </c>
    </row>
    <row r="13" spans="1:61" x14ac:dyDescent="0.25">
      <c r="A13" s="3" t="s">
        <v>72</v>
      </c>
      <c r="B13" s="3" t="s">
        <v>142</v>
      </c>
      <c r="C13" s="3" t="s">
        <v>146</v>
      </c>
      <c r="D13" s="3" t="s">
        <v>142</v>
      </c>
      <c r="E13" s="4" t="s">
        <v>73</v>
      </c>
      <c r="F13" s="5">
        <v>3.1156426146275934E-4</v>
      </c>
      <c r="G13" s="6">
        <v>44.728325516557582</v>
      </c>
      <c r="H13" s="7">
        <v>5.8683569464880105E-2</v>
      </c>
      <c r="I13" s="8">
        <v>2.5177972900861532</v>
      </c>
      <c r="J13" s="9">
        <v>0.30399239694326591</v>
      </c>
      <c r="K13" s="8">
        <v>2.2475951187942704</v>
      </c>
      <c r="L13" s="10">
        <v>0.17863251270853067</v>
      </c>
      <c r="M13" s="8">
        <v>1.9670926628738732</v>
      </c>
      <c r="N13" s="11">
        <v>1.8059628487693347E-4</v>
      </c>
      <c r="O13" s="12">
        <v>0.32496919484136755</v>
      </c>
      <c r="P13" s="13">
        <v>155.82360218685201</v>
      </c>
      <c r="Q13" s="13">
        <v>131.2193431226992</v>
      </c>
      <c r="R13" s="13">
        <v>9.7523700236784165</v>
      </c>
      <c r="S13" s="8">
        <v>2.9357634637689607</v>
      </c>
      <c r="T13" s="10">
        <v>0.86989120738723102</v>
      </c>
      <c r="U13" s="14">
        <v>0.49883911614445797</v>
      </c>
      <c r="V13" s="15">
        <v>452.32268646313742</v>
      </c>
      <c r="W13" s="16">
        <v>5.5032343161658916</v>
      </c>
      <c r="X13" s="15">
        <v>453.35784358965464</v>
      </c>
      <c r="Y13" s="16">
        <v>5.5383347562226364</v>
      </c>
      <c r="Z13" s="15">
        <v>446.84094325226016</v>
      </c>
      <c r="AA13" s="16">
        <v>6.4941108423247025</v>
      </c>
      <c r="AB13" s="15">
        <v>375.43596657918215</v>
      </c>
      <c r="AC13" s="16">
        <v>105.20019634628686</v>
      </c>
      <c r="AD13" s="15">
        <v>490.31503013395218</v>
      </c>
      <c r="AE13" s="16">
        <v>15.37383322712013</v>
      </c>
      <c r="AF13" s="15">
        <v>498.51821426747085</v>
      </c>
      <c r="AG13" s="16">
        <v>14.3935700018424</v>
      </c>
      <c r="AH13" s="15"/>
      <c r="AI13" s="16">
        <v>158.81167101195723</v>
      </c>
      <c r="AJ13" s="45">
        <f>100-(100*V13/AB13)</f>
        <v>-20.479316508888431</v>
      </c>
      <c r="AK13" s="17">
        <f t="shared" si="0"/>
        <v>-20.479316508888431</v>
      </c>
      <c r="AL13" s="7">
        <v>2.4970865876079662E-2</v>
      </c>
      <c r="AM13" s="8">
        <v>2.9230230914395383</v>
      </c>
      <c r="AN13" s="18">
        <v>13.680520186030137</v>
      </c>
      <c r="AO13" s="8">
        <v>1.2343482206670129</v>
      </c>
      <c r="AP13" s="7">
        <v>5.8683569464880105E-2</v>
      </c>
      <c r="AQ13" s="8">
        <v>2.5177972900861532</v>
      </c>
      <c r="AR13" s="18">
        <v>13.757650534093212</v>
      </c>
      <c r="AS13" s="8">
        <v>1.2598447222112532</v>
      </c>
      <c r="AT13" s="7">
        <v>5.4129661896257356E-2</v>
      </c>
      <c r="AU13" s="8">
        <v>4.674952511172191</v>
      </c>
      <c r="AV13" s="37">
        <v>0.54249072279897737</v>
      </c>
      <c r="AW13" s="8">
        <v>4.8417341630658246</v>
      </c>
      <c r="AX13" s="40">
        <v>7.268682959505858E-2</v>
      </c>
      <c r="AY13" s="8">
        <v>1.2598447222112532</v>
      </c>
      <c r="AZ13" s="8">
        <v>0.26020526525841092</v>
      </c>
      <c r="BA13" s="18">
        <v>13.932417580708107</v>
      </c>
      <c r="BB13" s="8">
        <v>1.5042901708378584</v>
      </c>
      <c r="BC13" s="9">
        <v>4.3811116779949179E-2</v>
      </c>
      <c r="BD13" s="8">
        <v>6.4353105746562793</v>
      </c>
      <c r="BE13" s="10">
        <v>0.43356989170234006</v>
      </c>
      <c r="BF13" s="8">
        <v>6.8864222915424325</v>
      </c>
      <c r="BG13" s="9">
        <v>7.1775052262622152E-2</v>
      </c>
      <c r="BH13" s="8">
        <v>1.5042901708378584</v>
      </c>
      <c r="BI13" s="19">
        <v>0.39928260765543722</v>
      </c>
    </row>
    <row r="14" spans="1:61" x14ac:dyDescent="0.25">
      <c r="A14" s="3" t="s">
        <v>74</v>
      </c>
      <c r="B14" s="3" t="s">
        <v>142</v>
      </c>
      <c r="C14" s="3" t="s">
        <v>146</v>
      </c>
      <c r="D14" s="3" t="s">
        <v>142</v>
      </c>
      <c r="E14" s="4" t="s">
        <v>75</v>
      </c>
      <c r="F14" s="5">
        <v>2.1359633682423976E-13</v>
      </c>
      <c r="G14" s="20">
        <v>9999</v>
      </c>
      <c r="H14" s="7">
        <v>5.9214032090285772E-2</v>
      </c>
      <c r="I14" s="8">
        <v>1.2037549512403578</v>
      </c>
      <c r="J14" s="9">
        <v>0.27952649607189006</v>
      </c>
      <c r="K14" s="8">
        <v>1.1209020932916727</v>
      </c>
      <c r="L14" s="10">
        <v>0.23980261132018452</v>
      </c>
      <c r="M14" s="8">
        <v>2.3824000989177772</v>
      </c>
      <c r="N14" s="11">
        <v>-1.2217155940448512E-5</v>
      </c>
      <c r="O14" s="12">
        <v>-2.1727826454766667E-2</v>
      </c>
      <c r="P14" s="13">
        <v>533.47765662866698</v>
      </c>
      <c r="Q14" s="13">
        <v>462.25435972806031</v>
      </c>
      <c r="R14" s="13">
        <v>43.180942160800562</v>
      </c>
      <c r="S14" s="8">
        <v>12.20475519692058</v>
      </c>
      <c r="T14" s="10">
        <v>0.89508669700755905</v>
      </c>
      <c r="U14" s="14">
        <v>0.31072592303262803</v>
      </c>
      <c r="V14" s="15">
        <v>580.37665523780743</v>
      </c>
      <c r="W14" s="16">
        <v>8.8051566598116864</v>
      </c>
      <c r="X14" s="15">
        <v>580.49724733893584</v>
      </c>
      <c r="Y14" s="16">
        <v>8.9873171652829864</v>
      </c>
      <c r="Z14" s="15">
        <v>579.54716744799691</v>
      </c>
      <c r="AA14" s="16">
        <v>10.224392870787538</v>
      </c>
      <c r="AB14" s="15">
        <v>573.99634026362605</v>
      </c>
      <c r="AC14" s="16">
        <v>26.176493507227654</v>
      </c>
      <c r="AD14" s="15">
        <v>586.06916473837282</v>
      </c>
      <c r="AE14" s="16">
        <v>11.363559684551355</v>
      </c>
      <c r="AF14" s="15">
        <v>587.01723654077352</v>
      </c>
      <c r="AG14" s="16">
        <v>12.094220327310298</v>
      </c>
      <c r="AH14" s="15">
        <v>528.47059867098665</v>
      </c>
      <c r="AI14" s="16">
        <v>54.184158044375643</v>
      </c>
      <c r="AJ14" s="45">
        <v>-1.16235696547433</v>
      </c>
      <c r="AK14" s="17">
        <f t="shared" si="0"/>
        <v>-1.1115602185287514</v>
      </c>
      <c r="AL14" s="7">
        <v>2.9468528966798635E-2</v>
      </c>
      <c r="AM14" s="8">
        <v>2.0903465730404656</v>
      </c>
      <c r="AN14" s="18">
        <v>10.614795635758725</v>
      </c>
      <c r="AO14" s="8">
        <v>1.5864648509353803</v>
      </c>
      <c r="AP14" s="7">
        <v>5.9214032090285772E-2</v>
      </c>
      <c r="AQ14" s="8">
        <v>1.2037549512403578</v>
      </c>
      <c r="AR14" s="18">
        <v>10.614795635799048</v>
      </c>
      <c r="AS14" s="8">
        <v>1.5864648509353807</v>
      </c>
      <c r="AT14" s="7">
        <v>5.9214032087183857E-2</v>
      </c>
      <c r="AU14" s="8">
        <v>1.2037549513081032</v>
      </c>
      <c r="AV14" s="37">
        <v>0.76915571663441806</v>
      </c>
      <c r="AW14" s="8">
        <v>1.9914559262138325</v>
      </c>
      <c r="AX14" s="40">
        <v>9.4208125555186276E-2</v>
      </c>
      <c r="AY14" s="8">
        <v>1.5864648509353807</v>
      </c>
      <c r="AZ14" s="8">
        <v>0.79663568249365013</v>
      </c>
      <c r="BA14" s="18">
        <v>10.630682440945915</v>
      </c>
      <c r="BB14" s="8">
        <v>1.8446947911227134</v>
      </c>
      <c r="BC14" s="9">
        <v>5.7991906486992283E-2</v>
      </c>
      <c r="BD14" s="8">
        <v>2.4725650676211712</v>
      </c>
      <c r="BE14" s="10">
        <v>0.75215529302510342</v>
      </c>
      <c r="BF14" s="8">
        <v>2.9057313333181098</v>
      </c>
      <c r="BG14" s="9">
        <v>9.4067338155857882E-2</v>
      </c>
      <c r="BH14" s="8">
        <v>1.8446947911227134</v>
      </c>
      <c r="BI14" s="19">
        <v>0.5347383359589295</v>
      </c>
    </row>
    <row r="15" spans="1:61" x14ac:dyDescent="0.25">
      <c r="A15" s="3" t="s">
        <v>74</v>
      </c>
      <c r="B15" s="3" t="s">
        <v>142</v>
      </c>
      <c r="C15" s="3" t="s">
        <v>146</v>
      </c>
      <c r="D15" s="3" t="s">
        <v>142</v>
      </c>
      <c r="E15" s="4" t="s">
        <v>76</v>
      </c>
      <c r="F15" s="5">
        <v>-1.3744151604633913E-5</v>
      </c>
      <c r="G15" s="6">
        <v>100.00068583020946</v>
      </c>
      <c r="H15" s="7">
        <v>5.9506588511778709E-2</v>
      </c>
      <c r="I15" s="8">
        <v>1.1731596666730346</v>
      </c>
      <c r="J15" s="9">
        <v>0.28322279445969212</v>
      </c>
      <c r="K15" s="8">
        <v>1.0927123358628843</v>
      </c>
      <c r="L15" s="10">
        <v>0.2330293477171442</v>
      </c>
      <c r="M15" s="8">
        <v>2.3420883424674814</v>
      </c>
      <c r="N15" s="11">
        <v>3.4696025770103514E-5</v>
      </c>
      <c r="O15" s="12">
        <v>6.1791737877300537E-2</v>
      </c>
      <c r="P15" s="13">
        <v>525.82368846746795</v>
      </c>
      <c r="Q15" s="13">
        <v>464.0174201135311</v>
      </c>
      <c r="R15" s="13">
        <v>41.46737096568441</v>
      </c>
      <c r="S15" s="8">
        <v>11.811233501550323</v>
      </c>
      <c r="T15" s="10">
        <v>0.91157930973840695</v>
      </c>
      <c r="U15" s="14">
        <v>0.30541271935149</v>
      </c>
      <c r="V15" s="15">
        <v>566.67977850423631</v>
      </c>
      <c r="W15" s="16">
        <v>6.7618273367348598</v>
      </c>
      <c r="X15" s="15">
        <v>566.2118765882899</v>
      </c>
      <c r="Y15" s="16">
        <v>6.895285078580061</v>
      </c>
      <c r="Z15" s="15">
        <v>566.21007913804272</v>
      </c>
      <c r="AA15" s="16">
        <v>7.894339814303196</v>
      </c>
      <c r="AB15" s="15">
        <v>591.96403955714186</v>
      </c>
      <c r="AC15" s="16">
        <v>26.357331067924232</v>
      </c>
      <c r="AD15" s="15">
        <v>569.82908101037742</v>
      </c>
      <c r="AE15" s="16">
        <v>9.5244714065390106</v>
      </c>
      <c r="AF15" s="15">
        <v>566.22392910325107</v>
      </c>
      <c r="AG15" s="16">
        <v>10.134047970269696</v>
      </c>
      <c r="AH15" s="15">
        <v>566.11205851149543</v>
      </c>
      <c r="AI15" s="16">
        <v>52.246574090988787</v>
      </c>
      <c r="AJ15" s="45">
        <v>4.4616061292159701</v>
      </c>
      <c r="AK15" s="17">
        <f t="shared" si="0"/>
        <v>4.2712494954627829</v>
      </c>
      <c r="AL15" s="7">
        <v>2.8410008934002917E-2</v>
      </c>
      <c r="AM15" s="8">
        <v>1.8149458956138755</v>
      </c>
      <c r="AN15" s="18">
        <v>10.885750299211518</v>
      </c>
      <c r="AO15" s="8">
        <v>1.2462105043790166</v>
      </c>
      <c r="AP15" s="7">
        <v>5.9506588511778709E-2</v>
      </c>
      <c r="AQ15" s="8">
        <v>1.1731596666730346</v>
      </c>
      <c r="AR15" s="18">
        <v>10.883086382198885</v>
      </c>
      <c r="AS15" s="8">
        <v>1.2464507565602787</v>
      </c>
      <c r="AT15" s="7">
        <v>5.9706070615424336E-2</v>
      </c>
      <c r="AU15" s="8">
        <v>1.2157415887374332</v>
      </c>
      <c r="AV15" s="37">
        <v>0.75642816084966236</v>
      </c>
      <c r="AW15" s="8">
        <v>1.7411683144129144</v>
      </c>
      <c r="AX15" s="40">
        <v>9.1885699045416741E-2</v>
      </c>
      <c r="AY15" s="8">
        <v>1.2464507565602787</v>
      </c>
      <c r="AZ15" s="8">
        <v>0.71587034190922305</v>
      </c>
      <c r="BA15" s="18">
        <v>10.892517071790095</v>
      </c>
      <c r="BB15" s="8">
        <v>1.4563688953254033</v>
      </c>
      <c r="BC15" s="9">
        <v>5.8999872265565398E-2</v>
      </c>
      <c r="BD15" s="8">
        <v>2.3994212827192256</v>
      </c>
      <c r="BE15" s="10">
        <v>0.7468340269159891</v>
      </c>
      <c r="BF15" s="8">
        <v>2.7486459576804996</v>
      </c>
      <c r="BG15" s="9">
        <v>9.1806144843219251E-2</v>
      </c>
      <c r="BH15" s="8">
        <v>1.4563688953254033</v>
      </c>
      <c r="BI15" s="19">
        <v>0.489482998302882</v>
      </c>
    </row>
    <row r="16" spans="1:61" x14ac:dyDescent="0.25">
      <c r="A16" s="3" t="s">
        <v>74</v>
      </c>
      <c r="B16" s="3" t="s">
        <v>142</v>
      </c>
      <c r="C16" s="3" t="s">
        <v>146</v>
      </c>
      <c r="D16" s="3" t="s">
        <v>142</v>
      </c>
      <c r="E16" s="4" t="s">
        <v>77</v>
      </c>
      <c r="F16" s="5">
        <v>2.1753532981656154E-5</v>
      </c>
      <c r="G16" s="6">
        <v>70.711446776059887</v>
      </c>
      <c r="H16" s="7">
        <v>5.8721396109270033E-2</v>
      </c>
      <c r="I16" s="8">
        <v>1.0502688436224916</v>
      </c>
      <c r="J16" s="9">
        <v>0.339684159206044</v>
      </c>
      <c r="K16" s="8">
        <v>0.90399235340810369</v>
      </c>
      <c r="L16" s="10">
        <v>0.24699962707247369</v>
      </c>
      <c r="M16" s="8">
        <v>1.9975798358280759</v>
      </c>
      <c r="N16" s="11">
        <v>-4.675081626981787E-5</v>
      </c>
      <c r="O16" s="12">
        <v>-8.3144851999981367E-2</v>
      </c>
      <c r="P16" s="13">
        <v>658.78280188081203</v>
      </c>
      <c r="Q16" s="13">
        <v>700.75408088873417</v>
      </c>
      <c r="R16" s="13">
        <v>53.354202381890666</v>
      </c>
      <c r="S16" s="8">
        <v>18.378831463295601</v>
      </c>
      <c r="T16" s="10">
        <v>1.09881278547558</v>
      </c>
      <c r="U16" s="14">
        <v>0.27648567351190301</v>
      </c>
      <c r="V16" s="15">
        <v>580.14137003545432</v>
      </c>
      <c r="W16" s="16">
        <v>5.4599203909793061</v>
      </c>
      <c r="X16" s="15">
        <v>580.81752762602264</v>
      </c>
      <c r="Y16" s="16">
        <v>5.583838846538459</v>
      </c>
      <c r="Z16" s="15">
        <v>580.38201038253953</v>
      </c>
      <c r="AA16" s="16">
        <v>6.6287095878618638</v>
      </c>
      <c r="AB16" s="15">
        <v>544.01119607161968</v>
      </c>
      <c r="AC16" s="16">
        <v>24.558915488618382</v>
      </c>
      <c r="AD16" s="15">
        <v>578.84041873045226</v>
      </c>
      <c r="AE16" s="16">
        <v>7.8457992032237662</v>
      </c>
      <c r="AF16" s="15">
        <v>583.17187096696705</v>
      </c>
      <c r="AG16" s="16">
        <v>8.331578947481006</v>
      </c>
      <c r="AH16" s="15">
        <v>557.2179332876259</v>
      </c>
      <c r="AI16" s="16">
        <v>68.310957187233441</v>
      </c>
      <c r="AJ16" s="45">
        <v>-6.9450593744868199</v>
      </c>
      <c r="AK16" s="17">
        <f t="shared" si="0"/>
        <v>-6.6414394087356357</v>
      </c>
      <c r="AL16" s="7">
        <v>2.9272691762811665E-2</v>
      </c>
      <c r="AM16" s="8">
        <v>1.4493754722693601</v>
      </c>
      <c r="AN16" s="18">
        <v>10.61518893761035</v>
      </c>
      <c r="AO16" s="8">
        <v>0.98373919672959886</v>
      </c>
      <c r="AP16" s="7">
        <v>5.8721396109270033E-2</v>
      </c>
      <c r="AQ16" s="8">
        <v>1.0502688436224916</v>
      </c>
      <c r="AR16" s="18">
        <v>10.619297328408742</v>
      </c>
      <c r="AS16" s="8">
        <v>0.98411980086972206</v>
      </c>
      <c r="AT16" s="7">
        <v>5.8405170628781575E-2</v>
      </c>
      <c r="AU16" s="8">
        <v>1.1236534495119324</v>
      </c>
      <c r="AV16" s="37">
        <v>0.75832747471466633</v>
      </c>
      <c r="AW16" s="8">
        <v>1.4936829841247863</v>
      </c>
      <c r="AX16" s="40">
        <v>9.416818920069224E-2</v>
      </c>
      <c r="AY16" s="8">
        <v>0.98411980086972206</v>
      </c>
      <c r="AZ16" s="8">
        <v>0.65885453026457319</v>
      </c>
      <c r="BA16" s="18">
        <v>10.614693218761992</v>
      </c>
      <c r="BB16" s="8">
        <v>1.1943140189926089</v>
      </c>
      <c r="BC16" s="9">
        <v>5.87595519076596E-2</v>
      </c>
      <c r="BD16" s="8">
        <v>3.1324624831215431</v>
      </c>
      <c r="BE16" s="10">
        <v>0.76325964868281193</v>
      </c>
      <c r="BF16" s="8">
        <v>3.485034491098729</v>
      </c>
      <c r="BG16" s="9">
        <v>9.4209034532665603E-2</v>
      </c>
      <c r="BH16" s="8">
        <v>1.1943140189926089</v>
      </c>
      <c r="BI16" s="19">
        <v>0.45162499332781941</v>
      </c>
    </row>
    <row r="17" spans="1:61" x14ac:dyDescent="0.25">
      <c r="A17" s="3" t="s">
        <v>74</v>
      </c>
      <c r="B17" s="3" t="s">
        <v>142</v>
      </c>
      <c r="C17" s="3" t="s">
        <v>146</v>
      </c>
      <c r="D17" s="3" t="s">
        <v>142</v>
      </c>
      <c r="E17" s="4" t="s">
        <v>79</v>
      </c>
      <c r="F17" s="5">
        <v>-2.8247959403727916E-5</v>
      </c>
      <c r="G17" s="6">
        <v>70.711676474225982</v>
      </c>
      <c r="H17" s="7">
        <v>5.9805390022966837E-2</v>
      </c>
      <c r="I17" s="8">
        <v>1.186649968629496</v>
      </c>
      <c r="J17" s="9">
        <v>0.25314768868095261</v>
      </c>
      <c r="K17" s="8">
        <v>1.1685132680527666</v>
      </c>
      <c r="L17" s="10">
        <v>0.23422877418158874</v>
      </c>
      <c r="M17" s="8">
        <v>2.0776432589501894</v>
      </c>
      <c r="N17" s="11">
        <v>3.622546462118249E-5</v>
      </c>
      <c r="O17" s="12">
        <v>6.4455782418768162E-2</v>
      </c>
      <c r="P17" s="13">
        <v>538.38144456196005</v>
      </c>
      <c r="Q17" s="13">
        <v>439.97080590171396</v>
      </c>
      <c r="R17" s="13">
        <v>43.25579908084633</v>
      </c>
      <c r="S17" s="8">
        <v>11.004080906026603</v>
      </c>
      <c r="T17" s="10">
        <v>0.84417813259937702</v>
      </c>
      <c r="U17" s="14">
        <v>0.74018349371430003</v>
      </c>
      <c r="V17" s="15">
        <v>577.02610605661187</v>
      </c>
      <c r="W17" s="16">
        <v>7.0407619335750589</v>
      </c>
      <c r="X17" s="15">
        <v>576.39320607817933</v>
      </c>
      <c r="Y17" s="16">
        <v>7.1792768253056378</v>
      </c>
      <c r="Z17" s="15">
        <v>579.10457697649747</v>
      </c>
      <c r="AA17" s="16">
        <v>8.1149882306833874</v>
      </c>
      <c r="AB17" s="15">
        <v>610.34147982748709</v>
      </c>
      <c r="AC17" s="16">
        <v>27.50013986575528</v>
      </c>
      <c r="AD17" s="15">
        <v>561.7749118592277</v>
      </c>
      <c r="AE17" s="16">
        <v>10.550511551344211</v>
      </c>
      <c r="AF17" s="15">
        <v>556.496140312487</v>
      </c>
      <c r="AG17" s="16">
        <v>11.154528531455107</v>
      </c>
      <c r="AH17" s="15">
        <v>716.49184188968775</v>
      </c>
      <c r="AI17" s="16">
        <v>49.179867161784188</v>
      </c>
      <c r="AJ17" s="45">
        <v>5.7062026611041601</v>
      </c>
      <c r="AK17" s="17">
        <f t="shared" si="0"/>
        <v>5.4584810097278336</v>
      </c>
      <c r="AL17" s="7">
        <v>2.7915172435292845E-2</v>
      </c>
      <c r="AM17" s="8">
        <v>2.0321416784001638</v>
      </c>
      <c r="AN17" s="18">
        <v>10.684615294623107</v>
      </c>
      <c r="AO17" s="8">
        <v>1.2751106176414582</v>
      </c>
      <c r="AP17" s="7">
        <v>5.9805390022966837E-2</v>
      </c>
      <c r="AQ17" s="8">
        <v>1.186649968629496</v>
      </c>
      <c r="AR17" s="18">
        <v>10.679247750013117</v>
      </c>
      <c r="AS17" s="8">
        <v>1.2756053310889484</v>
      </c>
      <c r="AT17" s="7">
        <v>6.0215117339140846E-2</v>
      </c>
      <c r="AU17" s="8">
        <v>1.2723670272130101</v>
      </c>
      <c r="AV17" s="37">
        <v>0.77743868979072439</v>
      </c>
      <c r="AW17" s="8">
        <v>1.8016899879394952</v>
      </c>
      <c r="AX17" s="40">
        <v>9.3639554340217618E-2</v>
      </c>
      <c r="AY17" s="8">
        <v>1.2756053310889484</v>
      </c>
      <c r="AZ17" s="8">
        <v>0.70800489519720089</v>
      </c>
      <c r="BA17" s="18">
        <v>10.639177809234688</v>
      </c>
      <c r="BB17" s="8">
        <v>1.4651834069066563</v>
      </c>
      <c r="BC17" s="9">
        <v>6.3273824902341999E-2</v>
      </c>
      <c r="BD17" s="8">
        <v>2.3156992114705401</v>
      </c>
      <c r="BE17" s="10">
        <v>0.8200065018146806</v>
      </c>
      <c r="BF17" s="8">
        <v>2.6840883007337974</v>
      </c>
      <c r="BG17" s="9">
        <v>9.399222552066111E-2</v>
      </c>
      <c r="BH17" s="8">
        <v>1.4651834069066563</v>
      </c>
      <c r="BI17" s="19">
        <v>0.50711320521294545</v>
      </c>
    </row>
    <row r="18" spans="1:61" x14ac:dyDescent="0.25">
      <c r="A18" s="3" t="s">
        <v>143</v>
      </c>
      <c r="B18" s="3" t="s">
        <v>142</v>
      </c>
      <c r="C18" s="3" t="s">
        <v>143</v>
      </c>
      <c r="D18" s="3" t="s">
        <v>142</v>
      </c>
      <c r="E18" s="4" t="s">
        <v>80</v>
      </c>
      <c r="F18" s="5">
        <v>2.4035283459600752E-5</v>
      </c>
      <c r="G18" s="6">
        <v>70.711527712365978</v>
      </c>
      <c r="H18" s="7">
        <v>5.8905381915553785E-2</v>
      </c>
      <c r="I18" s="8">
        <v>1.1011572061876407</v>
      </c>
      <c r="J18" s="9">
        <v>0.33341070567541115</v>
      </c>
      <c r="K18" s="8">
        <v>0.9598104172249653</v>
      </c>
      <c r="L18" s="10">
        <v>0.25038706976615011</v>
      </c>
      <c r="M18" s="8">
        <v>2.7641937951487114</v>
      </c>
      <c r="N18" s="11">
        <v>-2.6929266696781276E-5</v>
      </c>
      <c r="O18" s="12">
        <v>-4.7910655957321552E-2</v>
      </c>
      <c r="P18" s="13">
        <v>574.32892074014899</v>
      </c>
      <c r="Q18" s="13">
        <v>598.94954426252582</v>
      </c>
      <c r="R18" s="13">
        <v>46.196353748479844</v>
      </c>
      <c r="S18" s="8">
        <v>15.591605637100859</v>
      </c>
      <c r="T18" s="10">
        <v>1.0772831680247601</v>
      </c>
      <c r="U18" s="14">
        <v>0.28884738149498501</v>
      </c>
      <c r="V18" s="15">
        <v>576.51888396887171</v>
      </c>
      <c r="W18" s="16">
        <v>8.0470170397856045</v>
      </c>
      <c r="X18" s="15">
        <v>577.01912916479375</v>
      </c>
      <c r="Y18" s="16">
        <v>8.2154600434431835</v>
      </c>
      <c r="Z18" s="15">
        <v>576.68199890009987</v>
      </c>
      <c r="AA18" s="16">
        <v>9.6767424359396266</v>
      </c>
      <c r="AB18" s="15">
        <v>549.64737729478952</v>
      </c>
      <c r="AC18" s="16">
        <v>25.893320451218717</v>
      </c>
      <c r="AD18" s="15">
        <v>575.61677363481886</v>
      </c>
      <c r="AE18" s="16">
        <v>10.103526317425214</v>
      </c>
      <c r="AF18" s="15">
        <v>578.88354222923192</v>
      </c>
      <c r="AG18" s="16">
        <v>10.557749147507428</v>
      </c>
      <c r="AH18" s="15">
        <v>558.6295198398567</v>
      </c>
      <c r="AI18" s="16">
        <v>68.203976909405981</v>
      </c>
      <c r="AJ18" s="45">
        <v>-5.1108913051130003</v>
      </c>
      <c r="AK18" s="17">
        <f t="shared" si="0"/>
        <v>-4.8888628935766434</v>
      </c>
      <c r="AL18" s="7">
        <v>2.9054339220191849E-2</v>
      </c>
      <c r="AM18" s="8">
        <v>1.8500541806603659</v>
      </c>
      <c r="AN18" s="18">
        <v>10.684499303261504</v>
      </c>
      <c r="AO18" s="8">
        <v>1.4588254435490515</v>
      </c>
      <c r="AP18" s="7">
        <v>5.8905381915553785E-2</v>
      </c>
      <c r="AQ18" s="8">
        <v>1.1011572061876407</v>
      </c>
      <c r="AR18" s="18">
        <v>10.689070151111554</v>
      </c>
      <c r="AS18" s="8">
        <v>1.4591390504548474</v>
      </c>
      <c r="AT18" s="7">
        <v>5.8556049183241581E-2</v>
      </c>
      <c r="AU18" s="8">
        <v>1.1858404153688478</v>
      </c>
      <c r="AV18" s="37">
        <v>0.7553237042368709</v>
      </c>
      <c r="AW18" s="8">
        <v>1.8802404791101681</v>
      </c>
      <c r="AX18" s="40">
        <v>9.3553507074327705E-2</v>
      </c>
      <c r="AY18" s="8">
        <v>1.4591390504548474</v>
      </c>
      <c r="AZ18" s="8">
        <v>0.77603852627691072</v>
      </c>
      <c r="BA18" s="18">
        <v>10.685909529798193</v>
      </c>
      <c r="BB18" s="8">
        <v>1.7541773372761358</v>
      </c>
      <c r="BC18" s="9">
        <v>5.8797603598400791E-2</v>
      </c>
      <c r="BD18" s="8">
        <v>3.1283040688709227</v>
      </c>
      <c r="BE18" s="10">
        <v>0.75866387990097484</v>
      </c>
      <c r="BF18" s="8">
        <v>3.6360088793394625</v>
      </c>
      <c r="BG18" s="9">
        <v>9.3581177831559392E-2</v>
      </c>
      <c r="BH18" s="8">
        <v>1.7541773372761358</v>
      </c>
      <c r="BI18" s="19">
        <v>0.5104424358209243</v>
      </c>
    </row>
    <row r="19" spans="1:61" x14ac:dyDescent="0.25">
      <c r="A19" s="3" t="s">
        <v>143</v>
      </c>
      <c r="B19" s="3" t="s">
        <v>142</v>
      </c>
      <c r="C19" s="3" t="s">
        <v>143</v>
      </c>
      <c r="D19" s="3" t="s">
        <v>142</v>
      </c>
      <c r="E19" s="4" t="s">
        <v>81</v>
      </c>
      <c r="F19" s="5">
        <v>-2.0052953147841802E-4</v>
      </c>
      <c r="G19" s="6">
        <v>31.625946895373296</v>
      </c>
      <c r="H19" s="7">
        <v>5.8993503208460064E-2</v>
      </c>
      <c r="I19" s="8">
        <v>1.4425353684090492</v>
      </c>
      <c r="J19" s="9">
        <v>0.24717455652957473</v>
      </c>
      <c r="K19" s="8">
        <v>1.4091266282624</v>
      </c>
      <c r="L19" s="10">
        <v>0.23836145447836568</v>
      </c>
      <c r="M19" s="8">
        <v>3.7508196552969704</v>
      </c>
      <c r="N19" s="11">
        <v>2.8616579034244098E-5</v>
      </c>
      <c r="O19" s="12">
        <v>5.1040008026883979E-2</v>
      </c>
      <c r="P19" s="13">
        <v>353.34779670289402</v>
      </c>
      <c r="Q19" s="13">
        <v>278.81604328658392</v>
      </c>
      <c r="R19" s="13">
        <v>27.056336879118742</v>
      </c>
      <c r="S19" s="8">
        <v>6.7265969325705344</v>
      </c>
      <c r="T19" s="10">
        <v>0.81510900988358204</v>
      </c>
      <c r="U19" s="14">
        <v>0.35502004627616102</v>
      </c>
      <c r="V19" s="15">
        <v>552.60700706565399</v>
      </c>
      <c r="W19" s="16">
        <v>8.5731410927372007</v>
      </c>
      <c r="X19" s="15">
        <v>550.44994598149742</v>
      </c>
      <c r="Y19" s="16">
        <v>8.6891134766215998</v>
      </c>
      <c r="Z19" s="15">
        <v>552.21211937947783</v>
      </c>
      <c r="AA19" s="16">
        <v>9.7631003698420802</v>
      </c>
      <c r="AB19" s="15">
        <v>669.56239438993498</v>
      </c>
      <c r="AC19" s="16">
        <v>43.128339331359598</v>
      </c>
      <c r="AD19" s="15">
        <v>555.60745380336698</v>
      </c>
      <c r="AE19" s="16">
        <v>12.964975170852542</v>
      </c>
      <c r="AF19" s="15">
        <v>537.05613179918737</v>
      </c>
      <c r="AG19" s="16">
        <v>12.548967908374768</v>
      </c>
      <c r="AH19" s="15">
        <v>648.48301002715027</v>
      </c>
      <c r="AI19" s="16">
        <v>51.337507826727908</v>
      </c>
      <c r="AJ19" s="45">
        <v>18.2244521700954</v>
      </c>
      <c r="AK19" s="17">
        <f t="shared" si="0"/>
        <v>17.467436687635924</v>
      </c>
      <c r="AL19" s="7">
        <v>2.692700464029385E-2</v>
      </c>
      <c r="AM19" s="8">
        <v>2.3678017697381435</v>
      </c>
      <c r="AN19" s="18">
        <v>11.212561373413198</v>
      </c>
      <c r="AO19" s="8">
        <v>1.6149161692723208</v>
      </c>
      <c r="AP19" s="7">
        <v>5.8993503208460064E-2</v>
      </c>
      <c r="AQ19" s="8">
        <v>1.4425353684090492</v>
      </c>
      <c r="AR19" s="18">
        <v>11.172601356670677</v>
      </c>
      <c r="AS19" s="8">
        <v>1.6188446157551255</v>
      </c>
      <c r="AT19" s="7">
        <v>6.18962193270996E-2</v>
      </c>
      <c r="AU19" s="8">
        <v>2.0151754991814474</v>
      </c>
      <c r="AV19" s="37">
        <v>0.76385529639657823</v>
      </c>
      <c r="AW19" s="8">
        <v>2.5848772083912528</v>
      </c>
      <c r="AX19" s="40">
        <v>8.9504670226414479E-2</v>
      </c>
      <c r="AY19" s="8">
        <v>1.6188446157551255</v>
      </c>
      <c r="AZ19" s="8">
        <v>0.62627524839473669</v>
      </c>
      <c r="BA19" s="18">
        <v>11.180938240159664</v>
      </c>
      <c r="BB19" s="8">
        <v>1.8448042474146273</v>
      </c>
      <c r="BC19" s="9">
        <v>6.1290623833017865E-2</v>
      </c>
      <c r="BD19" s="8">
        <v>2.3904008841774744</v>
      </c>
      <c r="BE19" s="10">
        <v>0.75581771695537292</v>
      </c>
      <c r="BF19" s="8">
        <v>2.7982654057580651</v>
      </c>
      <c r="BG19" s="9">
        <v>8.9437932534874642E-2</v>
      </c>
      <c r="BH19" s="8">
        <v>1.8448042474146273</v>
      </c>
      <c r="BI19" s="19">
        <v>0.53460928542814623</v>
      </c>
    </row>
    <row r="20" spans="1:61" x14ac:dyDescent="0.25">
      <c r="A20" s="3" t="s">
        <v>74</v>
      </c>
      <c r="B20" s="3" t="s">
        <v>142</v>
      </c>
      <c r="C20" s="3" t="s">
        <v>146</v>
      </c>
      <c r="D20" s="3" t="s">
        <v>142</v>
      </c>
      <c r="E20" s="4" t="s">
        <v>82</v>
      </c>
      <c r="F20" s="5">
        <v>-1.1789128384971511E-5</v>
      </c>
      <c r="G20" s="6">
        <v>100.0005885796768</v>
      </c>
      <c r="H20" s="7">
        <v>5.8621128355918289E-2</v>
      </c>
      <c r="I20" s="8">
        <v>1.0921236253519981</v>
      </c>
      <c r="J20" s="9">
        <v>0.25940452088943111</v>
      </c>
      <c r="K20" s="8">
        <v>1.0530258564327073</v>
      </c>
      <c r="L20" s="10">
        <v>0.24526251784547592</v>
      </c>
      <c r="M20" s="8">
        <v>2.0928011090654519</v>
      </c>
      <c r="N20" s="11">
        <v>-4.8122392443175807E-5</v>
      </c>
      <c r="O20" s="12">
        <v>-8.5608021335177975E-2</v>
      </c>
      <c r="P20" s="13">
        <v>616.96920863254797</v>
      </c>
      <c r="Q20" s="13">
        <v>505.4057229014503</v>
      </c>
      <c r="R20" s="13">
        <v>49.703473996006885</v>
      </c>
      <c r="S20" s="8">
        <v>13.097975753124416</v>
      </c>
      <c r="T20" s="10">
        <v>0.84620772714791803</v>
      </c>
      <c r="U20" s="14">
        <v>0.29724271639764299</v>
      </c>
      <c r="V20" s="15">
        <v>577.52221524718277</v>
      </c>
      <c r="W20" s="16">
        <v>5.470677046764246</v>
      </c>
      <c r="X20" s="15">
        <v>577.8791827422807</v>
      </c>
      <c r="Y20" s="16">
        <v>5.5931863568994968</v>
      </c>
      <c r="Z20" s="15">
        <v>578.08898835447576</v>
      </c>
      <c r="AA20" s="16">
        <v>6.3186253741767375</v>
      </c>
      <c r="AB20" s="15">
        <v>558.4374329309295</v>
      </c>
      <c r="AC20" s="16">
        <v>24.572108988177195</v>
      </c>
      <c r="AD20" s="15">
        <v>573.37575781642875</v>
      </c>
      <c r="AE20" s="16">
        <v>8.397555278916812</v>
      </c>
      <c r="AF20" s="15">
        <v>576.3443449163517</v>
      </c>
      <c r="AG20" s="16">
        <v>9.1914767694757913</v>
      </c>
      <c r="AH20" s="15">
        <v>589.18501845174933</v>
      </c>
      <c r="AI20" s="16">
        <v>41.822225986050555</v>
      </c>
      <c r="AJ20" s="45">
        <v>-3.5729823939252299</v>
      </c>
      <c r="AK20" s="17">
        <f t="shared" si="0"/>
        <v>-3.4175327782179181</v>
      </c>
      <c r="AL20" s="7">
        <v>2.8925070549824738E-2</v>
      </c>
      <c r="AM20" s="8">
        <v>1.6176345686164648</v>
      </c>
      <c r="AN20" s="18">
        <v>10.671894940304425</v>
      </c>
      <c r="AO20" s="8">
        <v>0.99011036291033705</v>
      </c>
      <c r="AP20" s="7">
        <v>5.8621128355918289E-2</v>
      </c>
      <c r="AQ20" s="8">
        <v>1.0921236253519981</v>
      </c>
      <c r="AR20" s="18">
        <v>10.669657252913943</v>
      </c>
      <c r="AS20" s="8">
        <v>0.99033236577135808</v>
      </c>
      <c r="AT20" s="7">
        <v>5.8792423589985224E-2</v>
      </c>
      <c r="AU20" s="8">
        <v>1.1270095004928617</v>
      </c>
      <c r="AV20" s="37">
        <v>0.75975255553530419</v>
      </c>
      <c r="AW20" s="8">
        <v>1.5003028390613224</v>
      </c>
      <c r="AX20" s="40">
        <v>9.3723722917799859E-2</v>
      </c>
      <c r="AY20" s="8">
        <v>0.99033236577135808</v>
      </c>
      <c r="AZ20" s="8">
        <v>0.66008831016474523</v>
      </c>
      <c r="BA20" s="18">
        <v>10.658720879969071</v>
      </c>
      <c r="BB20" s="8">
        <v>1.1427607271503417</v>
      </c>
      <c r="BC20" s="9">
        <v>5.9629604230767554E-2</v>
      </c>
      <c r="BD20" s="8">
        <v>1.9281651142425951</v>
      </c>
      <c r="BE20" s="10">
        <v>0.77136177257341665</v>
      </c>
      <c r="BF20" s="8">
        <v>2.185526322761679</v>
      </c>
      <c r="BG20" s="9">
        <v>9.3819888076748459E-2</v>
      </c>
      <c r="BH20" s="8">
        <v>1.1427607271503417</v>
      </c>
      <c r="BI20" s="19">
        <v>0.4733883524259016</v>
      </c>
    </row>
    <row r="21" spans="1:61" x14ac:dyDescent="0.25">
      <c r="A21" s="3" t="s">
        <v>72</v>
      </c>
      <c r="B21" s="3" t="s">
        <v>142</v>
      </c>
      <c r="C21" s="3" t="s">
        <v>146</v>
      </c>
      <c r="D21" s="3" t="s">
        <v>142</v>
      </c>
      <c r="E21" s="4" t="s">
        <v>83</v>
      </c>
      <c r="F21" s="5">
        <v>-7.377402879404158E-14</v>
      </c>
      <c r="G21" s="20">
        <v>9999</v>
      </c>
      <c r="H21" s="7">
        <v>5.8577244759242704E-2</v>
      </c>
      <c r="I21" s="8">
        <v>1.2416978369230192</v>
      </c>
      <c r="J21" s="9">
        <v>0.28893015014695983</v>
      </c>
      <c r="K21" s="8">
        <v>1.1257784937962332</v>
      </c>
      <c r="L21" s="10">
        <v>0.24604777696600416</v>
      </c>
      <c r="M21" s="8">
        <v>2.5695105709682937</v>
      </c>
      <c r="N21" s="11">
        <v>-6.0429565679073936E-5</v>
      </c>
      <c r="O21" s="12">
        <v>-0.10745209016618454</v>
      </c>
      <c r="P21" s="13">
        <v>484.73915243210899</v>
      </c>
      <c r="Q21" s="13">
        <v>432.36361446989048</v>
      </c>
      <c r="R21" s="13">
        <v>39.399081085512996</v>
      </c>
      <c r="S21" s="8">
        <v>11.571934481800062</v>
      </c>
      <c r="T21" s="10">
        <v>0.92138547403585402</v>
      </c>
      <c r="U21" s="14">
        <v>0.31646564467958099</v>
      </c>
      <c r="V21" s="15">
        <v>582.20698720030202</v>
      </c>
      <c r="W21" s="16">
        <v>9.8667290069983853</v>
      </c>
      <c r="X21" s="15">
        <v>582.80513443749101</v>
      </c>
      <c r="Y21" s="16">
        <v>10.07717357249566</v>
      </c>
      <c r="Z21" s="15">
        <v>580.97720192544784</v>
      </c>
      <c r="AA21" s="16">
        <v>11.506209887470336</v>
      </c>
      <c r="AB21" s="15">
        <v>550.43755959136854</v>
      </c>
      <c r="AC21" s="16">
        <v>27.109358506733109</v>
      </c>
      <c r="AD21" s="15">
        <v>590.37247226993816</v>
      </c>
      <c r="AE21" s="16">
        <v>12.354760609863003</v>
      </c>
      <c r="AF21" s="15">
        <v>594.94124599244617</v>
      </c>
      <c r="AG21" s="16">
        <v>13.109476780053384</v>
      </c>
      <c r="AH21" s="15">
        <v>481.53099590944458</v>
      </c>
      <c r="AI21" s="16">
        <v>59.975686723562767</v>
      </c>
      <c r="AJ21" s="45">
        <v>-6.0364480389508701</v>
      </c>
      <c r="AK21" s="17">
        <f t="shared" si="0"/>
        <v>-5.7716678404937198</v>
      </c>
      <c r="AL21" s="7">
        <v>2.9872201310106261E-2</v>
      </c>
      <c r="AM21" s="8">
        <v>2.2360796532641034</v>
      </c>
      <c r="AN21" s="18">
        <v>10.579900373668456</v>
      </c>
      <c r="AO21" s="8">
        <v>1.7723921499172164</v>
      </c>
      <c r="AP21" s="7">
        <v>5.8577244759242704E-2</v>
      </c>
      <c r="AQ21" s="8">
        <v>1.2416978369230192</v>
      </c>
      <c r="AR21" s="18">
        <v>10.579900373654576</v>
      </c>
      <c r="AS21" s="8">
        <v>1.7723921499172164</v>
      </c>
      <c r="AT21" s="7">
        <v>5.8577244760314902E-2</v>
      </c>
      <c r="AU21" s="8">
        <v>1.2416978368986755</v>
      </c>
      <c r="AV21" s="37">
        <v>0.76339381490435887</v>
      </c>
      <c r="AW21" s="8">
        <v>2.1640673398133945</v>
      </c>
      <c r="AX21" s="40">
        <v>9.4518848446828396E-2</v>
      </c>
      <c r="AY21" s="8">
        <v>1.7723921499172164</v>
      </c>
      <c r="AZ21" s="8">
        <v>0.81900970330712908</v>
      </c>
      <c r="BA21" s="18">
        <v>10.603321966676832</v>
      </c>
      <c r="BB21" s="8">
        <v>2.0710778763016755</v>
      </c>
      <c r="BC21" s="9">
        <v>5.6767807661204914E-2</v>
      </c>
      <c r="BD21" s="8">
        <v>2.7149361137029602</v>
      </c>
      <c r="BE21" s="10">
        <v>0.73817859581415923</v>
      </c>
      <c r="BF21" s="8">
        <v>3.2162568316372897</v>
      </c>
      <c r="BG21" s="9">
        <v>9.431006651903151E-2</v>
      </c>
      <c r="BH21" s="8">
        <v>2.0710778763016755</v>
      </c>
      <c r="BI21" s="19">
        <v>0.54516321985867255</v>
      </c>
    </row>
    <row r="22" spans="1:61" x14ac:dyDescent="0.25">
      <c r="A22" s="3" t="s">
        <v>74</v>
      </c>
      <c r="B22" s="3" t="s">
        <v>142</v>
      </c>
      <c r="C22" s="3" t="s">
        <v>146</v>
      </c>
      <c r="D22" s="3" t="s">
        <v>142</v>
      </c>
      <c r="E22" s="4" t="s">
        <v>84</v>
      </c>
      <c r="F22" s="5">
        <v>-1.4177668976997624E-5</v>
      </c>
      <c r="G22" s="6">
        <v>100.00070675592121</v>
      </c>
      <c r="H22" s="7">
        <v>5.8711097587771176E-2</v>
      </c>
      <c r="I22" s="8">
        <v>1.2167743381455451</v>
      </c>
      <c r="J22" s="9">
        <v>0.24328938785035889</v>
      </c>
      <c r="K22" s="8">
        <v>1.1890673771648568</v>
      </c>
      <c r="L22" s="10">
        <v>0.24377336924321158</v>
      </c>
      <c r="M22" s="8">
        <v>2.3766487590897523</v>
      </c>
      <c r="N22" s="11">
        <v>-3.969996025408717E-5</v>
      </c>
      <c r="O22" s="12">
        <v>-7.0631375100914023E-2</v>
      </c>
      <c r="P22" s="13">
        <v>514.05262001290998</v>
      </c>
      <c r="Q22" s="13">
        <v>387.530187302954</v>
      </c>
      <c r="R22" s="13">
        <v>41.323746264576101</v>
      </c>
      <c r="S22" s="8">
        <v>10.206245175831972</v>
      </c>
      <c r="T22" s="10">
        <v>0.77875040005417695</v>
      </c>
      <c r="U22" s="14">
        <v>0.32191110975995202</v>
      </c>
      <c r="V22" s="15">
        <v>576.44493861354545</v>
      </c>
      <c r="W22" s="16">
        <v>6.8053699771372944</v>
      </c>
      <c r="X22" s="15">
        <v>576.6952578776262</v>
      </c>
      <c r="Y22" s="16">
        <v>6.9520184289531128</v>
      </c>
      <c r="Z22" s="15">
        <v>575.59023724875681</v>
      </c>
      <c r="AA22" s="16">
        <v>7.7508199164794336</v>
      </c>
      <c r="AB22" s="15">
        <v>563.05309039301324</v>
      </c>
      <c r="AC22" s="16">
        <v>27.484981760743011</v>
      </c>
      <c r="AD22" s="15">
        <v>583.3096372049996</v>
      </c>
      <c r="AE22" s="16">
        <v>10.10332549216259</v>
      </c>
      <c r="AF22" s="15">
        <v>585.57007950999662</v>
      </c>
      <c r="AG22" s="16">
        <v>11.057354447090345</v>
      </c>
      <c r="AH22" s="15">
        <v>515.47960646660704</v>
      </c>
      <c r="AI22" s="16">
        <v>44.414813681968148</v>
      </c>
      <c r="AJ22" s="45">
        <v>-2.4863985120710002</v>
      </c>
      <c r="AK22" s="17">
        <f t="shared" si="0"/>
        <v>-2.3784343695164978</v>
      </c>
      <c r="AL22" s="7">
        <v>2.9394823620803701E-2</v>
      </c>
      <c r="AM22" s="8">
        <v>1.9157911185391543</v>
      </c>
      <c r="AN22" s="18">
        <v>10.693200117263123</v>
      </c>
      <c r="AO22" s="8">
        <v>1.2338889390430823</v>
      </c>
      <c r="AP22" s="7">
        <v>5.8711097587771176E-2</v>
      </c>
      <c r="AQ22" s="8">
        <v>1.2167743381455451</v>
      </c>
      <c r="AR22" s="18">
        <v>10.690503554184273</v>
      </c>
      <c r="AS22" s="8">
        <v>1.2341466070553844</v>
      </c>
      <c r="AT22" s="7">
        <v>5.8917067079618086E-2</v>
      </c>
      <c r="AU22" s="8">
        <v>1.2615940709910578</v>
      </c>
      <c r="AV22" s="37">
        <v>0.75987863132585576</v>
      </c>
      <c r="AW22" s="8">
        <v>1.7648618777870713</v>
      </c>
      <c r="AX22" s="40">
        <v>9.3540963241960581E-2</v>
      </c>
      <c r="AY22" s="8">
        <v>1.2341466070553844</v>
      </c>
      <c r="AZ22" s="8">
        <v>0.69928792875443524</v>
      </c>
      <c r="BA22" s="18">
        <v>10.70709836908483</v>
      </c>
      <c r="BB22" s="8">
        <v>1.4075982187909835</v>
      </c>
      <c r="BC22" s="9">
        <v>5.7649518169240334E-2</v>
      </c>
      <c r="BD22" s="8">
        <v>2.0222772619393488</v>
      </c>
      <c r="BE22" s="10">
        <v>0.74237812067979148</v>
      </c>
      <c r="BF22" s="8">
        <v>2.3029674352689122</v>
      </c>
      <c r="BG22" s="9">
        <v>9.339598512397651E-2</v>
      </c>
      <c r="BH22" s="8">
        <v>1.4075982187909835</v>
      </c>
      <c r="BI22" s="19">
        <v>0.49286375924209175</v>
      </c>
    </row>
    <row r="23" spans="1:61" x14ac:dyDescent="0.25">
      <c r="A23" s="3" t="s">
        <v>143</v>
      </c>
      <c r="B23" s="3" t="s">
        <v>142</v>
      </c>
      <c r="C23" s="3" t="s">
        <v>143</v>
      </c>
      <c r="D23" s="3" t="s">
        <v>142</v>
      </c>
      <c r="E23" s="4" t="s">
        <v>85</v>
      </c>
      <c r="F23" s="5">
        <v>-2.6072997576215966E-5</v>
      </c>
      <c r="G23" s="6">
        <v>70.711599490368286</v>
      </c>
      <c r="H23" s="7">
        <v>6.026686702349747E-2</v>
      </c>
      <c r="I23" s="8">
        <v>1.1408985759022927</v>
      </c>
      <c r="J23" s="9">
        <v>0.26556954317948267</v>
      </c>
      <c r="K23" s="8">
        <v>1.0958464781187898</v>
      </c>
      <c r="L23" s="10">
        <v>0.22577183724381114</v>
      </c>
      <c r="M23" s="8">
        <v>2.9882203722462868</v>
      </c>
      <c r="N23" s="11">
        <v>9.8956826239533381E-5</v>
      </c>
      <c r="O23" s="12">
        <v>0.17633463057884063</v>
      </c>
      <c r="P23" s="13">
        <v>584.000436337868</v>
      </c>
      <c r="Q23" s="13">
        <v>494.15384403257718</v>
      </c>
      <c r="R23" s="13">
        <v>45.510374989688316</v>
      </c>
      <c r="S23" s="8">
        <v>12.053826041170689</v>
      </c>
      <c r="T23" s="10">
        <v>0.87407626625527002</v>
      </c>
      <c r="U23" s="14">
        <v>0.30309499536064299</v>
      </c>
      <c r="V23" s="15">
        <v>560.99175636165796</v>
      </c>
      <c r="W23" s="16">
        <v>8.6634397071667752</v>
      </c>
      <c r="X23" s="15">
        <v>559.79517957093594</v>
      </c>
      <c r="Y23" s="16">
        <v>8.8122056312377914</v>
      </c>
      <c r="Z23" s="15">
        <v>562.19367989737543</v>
      </c>
      <c r="AA23" s="16">
        <v>10.003841675099952</v>
      </c>
      <c r="AB23" s="15">
        <v>625.69189833815494</v>
      </c>
      <c r="AC23" s="16">
        <v>26.211846787844024</v>
      </c>
      <c r="AD23" s="15">
        <v>552.54025388861078</v>
      </c>
      <c r="AE23" s="16">
        <v>10.845605742031687</v>
      </c>
      <c r="AF23" s="15">
        <v>542.92697806477918</v>
      </c>
      <c r="AG23" s="16">
        <v>11.266995223931195</v>
      </c>
      <c r="AH23" s="15">
        <v>688.97077856482849</v>
      </c>
      <c r="AI23" s="16">
        <v>45.356261700148792</v>
      </c>
      <c r="AJ23" s="45">
        <v>10.7962529812424</v>
      </c>
      <c r="AK23" s="17">
        <f t="shared" si="0"/>
        <v>10.340575313239839</v>
      </c>
      <c r="AL23" s="7">
        <v>2.7225329303867118E-2</v>
      </c>
      <c r="AM23" s="8">
        <v>2.1032286609128126</v>
      </c>
      <c r="AN23" s="18">
        <v>11.003464177396669</v>
      </c>
      <c r="AO23" s="8">
        <v>1.61214373435053</v>
      </c>
      <c r="AP23" s="7">
        <v>6.026686702349747E-2</v>
      </c>
      <c r="AQ23" s="8">
        <v>1.1408985759022927</v>
      </c>
      <c r="AR23" s="18">
        <v>10.998354299478512</v>
      </c>
      <c r="AS23" s="8">
        <v>1.6124781331489728</v>
      </c>
      <c r="AT23" s="7">
        <v>6.0644856930517521E-2</v>
      </c>
      <c r="AU23" s="8">
        <v>1.2158729037414453</v>
      </c>
      <c r="AV23" s="37">
        <v>0.7602694590386333</v>
      </c>
      <c r="AW23" s="8">
        <v>2.0195129729556704</v>
      </c>
      <c r="AX23" s="40">
        <v>9.0922693774960053E-2</v>
      </c>
      <c r="AY23" s="8">
        <v>1.6124781331489728</v>
      </c>
      <c r="AZ23" s="8">
        <v>0.79844900960899534</v>
      </c>
      <c r="BA23" s="18">
        <v>10.973802803759375</v>
      </c>
      <c r="BB23" s="8">
        <v>1.8581497265577092</v>
      </c>
      <c r="BC23" s="9">
        <v>6.2460989866120649E-2</v>
      </c>
      <c r="BD23" s="8">
        <v>2.1260576788479106</v>
      </c>
      <c r="BE23" s="10">
        <v>0.78478914162649238</v>
      </c>
      <c r="BF23" s="8">
        <v>2.5912555879456489</v>
      </c>
      <c r="BG23" s="9">
        <v>9.1126113516220908E-2</v>
      </c>
      <c r="BH23" s="8">
        <v>1.8581497265577092</v>
      </c>
      <c r="BI23" s="19">
        <v>0.58642513337311397</v>
      </c>
    </row>
    <row r="24" spans="1:61" x14ac:dyDescent="0.25">
      <c r="A24" s="3" t="s">
        <v>72</v>
      </c>
      <c r="B24" s="3" t="s">
        <v>142</v>
      </c>
      <c r="C24" s="3" t="s">
        <v>146</v>
      </c>
      <c r="D24" s="3" t="s">
        <v>142</v>
      </c>
      <c r="E24" s="4" t="s">
        <v>86</v>
      </c>
      <c r="F24" s="5">
        <v>-1.2001528548048565E-4</v>
      </c>
      <c r="G24" s="6">
        <v>70.714920465311991</v>
      </c>
      <c r="H24" s="7">
        <v>5.9482072416537135E-2</v>
      </c>
      <c r="I24" s="8">
        <v>2.4679430223133307</v>
      </c>
      <c r="J24" s="9">
        <v>0.26590576357318563</v>
      </c>
      <c r="K24" s="8">
        <v>2.3286902655553194</v>
      </c>
      <c r="L24" s="10">
        <v>0.20925203283659688</v>
      </c>
      <c r="M24" s="8">
        <v>2.7002938640533838</v>
      </c>
      <c r="N24" s="11">
        <v>1.4287718069779616E-4</v>
      </c>
      <c r="O24" s="12">
        <v>0.25586405986666466</v>
      </c>
      <c r="P24" s="13">
        <v>138.52761776065199</v>
      </c>
      <c r="Q24" s="13">
        <v>101.27660039129933</v>
      </c>
      <c r="R24" s="13">
        <v>9.717342442334477</v>
      </c>
      <c r="S24" s="8">
        <v>2.5627007479518573</v>
      </c>
      <c r="T24" s="10">
        <v>0.75521928331267796</v>
      </c>
      <c r="U24" s="14">
        <v>0.53986397776809003</v>
      </c>
      <c r="V24" s="15">
        <v>508.32985913046576</v>
      </c>
      <c r="W24" s="16">
        <v>6.2487818680840448</v>
      </c>
      <c r="X24" s="15">
        <v>506.03315749048915</v>
      </c>
      <c r="Y24" s="16">
        <v>6.339279259303729</v>
      </c>
      <c r="Z24" s="15">
        <v>499.09662529442267</v>
      </c>
      <c r="AA24" s="16">
        <v>7.2032078955231258</v>
      </c>
      <c r="AB24" s="15">
        <v>646.03649566471279</v>
      </c>
      <c r="AC24" s="16">
        <v>67.058638633721941</v>
      </c>
      <c r="AD24" s="15">
        <v>584.03134998440567</v>
      </c>
      <c r="AE24" s="16">
        <v>17.004111593494784</v>
      </c>
      <c r="AF24" s="15">
        <v>562.9264059414204</v>
      </c>
      <c r="AG24" s="16">
        <v>17.153036543535375</v>
      </c>
      <c r="AH24" s="15"/>
      <c r="AI24" s="16">
        <v>116.89571842065936</v>
      </c>
      <c r="AJ24" s="45">
        <f>100-(100*V24/AB24)</f>
        <v>21.315612578908471</v>
      </c>
      <c r="AK24" s="17">
        <f t="shared" si="0"/>
        <v>21.315612578908471</v>
      </c>
      <c r="AL24" s="7">
        <v>2.8242242711323584E-2</v>
      </c>
      <c r="AM24" s="8">
        <v>3.0897481190128615</v>
      </c>
      <c r="AN24" s="18">
        <v>12.214322830593931</v>
      </c>
      <c r="AO24" s="8">
        <v>1.2693534568092466</v>
      </c>
      <c r="AP24" s="7">
        <v>5.9482072416537135E-2</v>
      </c>
      <c r="AQ24" s="8">
        <v>2.4679430223133307</v>
      </c>
      <c r="AR24" s="18">
        <v>12.18812773580269</v>
      </c>
      <c r="AS24" s="8">
        <v>1.2783809904450008</v>
      </c>
      <c r="AT24" s="7">
        <v>6.1220858064455735E-2</v>
      </c>
      <c r="AU24" s="8">
        <v>3.1211488203401165</v>
      </c>
      <c r="AV24" s="37">
        <v>0.69257002329662887</v>
      </c>
      <c r="AW24" s="8">
        <v>3.3728071269258257</v>
      </c>
      <c r="AX24" s="40">
        <v>8.2047056092339324E-2</v>
      </c>
      <c r="AY24" s="8">
        <v>1.2783809904450008</v>
      </c>
      <c r="AZ24" s="8">
        <v>0.37902582102588006</v>
      </c>
      <c r="BA24" s="18">
        <v>12.422615856268241</v>
      </c>
      <c r="BB24" s="8">
        <v>1.4998399076303328</v>
      </c>
      <c r="BC24" s="9">
        <v>4.5655937161429856E-2</v>
      </c>
      <c r="BD24" s="8">
        <v>4.8296560443514061</v>
      </c>
      <c r="BE24" s="10">
        <v>0.50674034266636181</v>
      </c>
      <c r="BF24" s="8">
        <v>5.2041238634391291</v>
      </c>
      <c r="BG24" s="9">
        <v>8.049834363149988E-2</v>
      </c>
      <c r="BH24" s="8">
        <v>1.4998399076303328</v>
      </c>
      <c r="BI24" s="19">
        <v>0.38479026467998773</v>
      </c>
    </row>
    <row r="25" spans="1:61" x14ac:dyDescent="0.25">
      <c r="A25" s="3" t="s">
        <v>143</v>
      </c>
      <c r="B25" s="3" t="s">
        <v>142</v>
      </c>
      <c r="C25" s="3" t="s">
        <v>146</v>
      </c>
      <c r="D25" s="3" t="s">
        <v>142</v>
      </c>
      <c r="E25" s="4" t="s">
        <v>87</v>
      </c>
      <c r="F25" s="5">
        <v>-1.3252065243573552E-5</v>
      </c>
      <c r="G25" s="6">
        <v>100.00066197606286</v>
      </c>
      <c r="H25" s="7">
        <v>5.9564481846831996E-2</v>
      </c>
      <c r="I25" s="8">
        <v>1.1535681255966406</v>
      </c>
      <c r="J25" s="9">
        <v>0.24984012824925564</v>
      </c>
      <c r="K25" s="8">
        <v>1.1381060219963302</v>
      </c>
      <c r="L25" s="10">
        <v>0.25315611529139193</v>
      </c>
      <c r="M25" s="8">
        <v>2.3084454670796206</v>
      </c>
      <c r="N25" s="11">
        <v>-1.7763713366473564E-6</v>
      </c>
      <c r="O25" s="12">
        <v>-3.1571633115031169E-3</v>
      </c>
      <c r="P25" s="13">
        <v>535.68106195563905</v>
      </c>
      <c r="Q25" s="13">
        <v>426.3582141456194</v>
      </c>
      <c r="R25" s="13">
        <v>43.926371784164083</v>
      </c>
      <c r="S25" s="8">
        <v>11.083727258829128</v>
      </c>
      <c r="T25" s="10">
        <v>0.82218332230101798</v>
      </c>
      <c r="U25" s="14">
        <v>0.31522645992522003</v>
      </c>
      <c r="V25" s="15">
        <v>587.86804984535661</v>
      </c>
      <c r="W25" s="16">
        <v>6.9282537027088074</v>
      </c>
      <c r="X25" s="15">
        <v>587.7534795993098</v>
      </c>
      <c r="Y25" s="16">
        <v>7.075479777557514</v>
      </c>
      <c r="Z25" s="15">
        <v>589.02688494057043</v>
      </c>
      <c r="AA25" s="16">
        <v>7.943028154247858</v>
      </c>
      <c r="AB25" s="15">
        <v>593.80512453064341</v>
      </c>
      <c r="AC25" s="16">
        <v>25.872908811098739</v>
      </c>
      <c r="AD25" s="15">
        <v>579.09196116934822</v>
      </c>
      <c r="AE25" s="16">
        <v>9.8119219546957144</v>
      </c>
      <c r="AF25" s="15">
        <v>578.10955938284928</v>
      </c>
      <c r="AG25" s="16">
        <v>10.630199633235765</v>
      </c>
      <c r="AH25" s="15">
        <v>653.62507274706707</v>
      </c>
      <c r="AI25" s="16">
        <v>41.857490353754663</v>
      </c>
      <c r="AJ25" s="45">
        <v>1.0461100422963401</v>
      </c>
      <c r="AK25" s="17">
        <f t="shared" si="0"/>
        <v>0.99983554200203173</v>
      </c>
      <c r="AL25" s="7">
        <v>2.9014934601289122E-2</v>
      </c>
      <c r="AM25" s="8">
        <v>1.8652081540479724</v>
      </c>
      <c r="AN25" s="18">
        <v>10.475815352311505</v>
      </c>
      <c r="AO25" s="8">
        <v>1.232867949738879</v>
      </c>
      <c r="AP25" s="7">
        <v>5.9564481846831996E-2</v>
      </c>
      <c r="AQ25" s="8">
        <v>1.1535681255966406</v>
      </c>
      <c r="AR25" s="18">
        <v>10.473348560981689</v>
      </c>
      <c r="AS25" s="8">
        <v>1.2330928079470234</v>
      </c>
      <c r="AT25" s="7">
        <v>5.9756802821369207E-2</v>
      </c>
      <c r="AU25" s="8">
        <v>1.193766425554202</v>
      </c>
      <c r="AV25" s="37">
        <v>0.78668898729348713</v>
      </c>
      <c r="AW25" s="8">
        <v>1.7162739151403341</v>
      </c>
      <c r="AX25" s="40">
        <v>9.5480446790960988E-2</v>
      </c>
      <c r="AY25" s="8">
        <v>1.2330928079470234</v>
      </c>
      <c r="AZ25" s="8">
        <v>0.71847086707380126</v>
      </c>
      <c r="BA25" s="18">
        <v>10.451789823448181</v>
      </c>
      <c r="BB25" s="8">
        <v>1.4110463028670612</v>
      </c>
      <c r="BC25" s="9">
        <v>6.143760871772503E-2</v>
      </c>
      <c r="BD25" s="8">
        <v>1.9506492623858536</v>
      </c>
      <c r="BE25" s="10">
        <v>0.81048486748131221</v>
      </c>
      <c r="BF25" s="8">
        <v>2.261760071348009</v>
      </c>
      <c r="BG25" s="9">
        <v>9.5677392761624347E-2</v>
      </c>
      <c r="BH25" s="8">
        <v>1.4110463028670612</v>
      </c>
      <c r="BI25" s="19">
        <v>0.51725385330479101</v>
      </c>
    </row>
    <row r="26" spans="1:61" x14ac:dyDescent="0.25">
      <c r="A26" s="3" t="s">
        <v>74</v>
      </c>
      <c r="B26" s="3" t="s">
        <v>142</v>
      </c>
      <c r="C26" s="3" t="s">
        <v>146</v>
      </c>
      <c r="D26" s="3" t="s">
        <v>142</v>
      </c>
      <c r="E26" s="4" t="s">
        <v>88</v>
      </c>
      <c r="F26" s="5">
        <v>5.784182991742034E-5</v>
      </c>
      <c r="G26" s="6">
        <v>50.001445712329016</v>
      </c>
      <c r="H26" s="7">
        <v>5.8260178417156992E-2</v>
      </c>
      <c r="I26" s="8">
        <v>1.2094659402934107</v>
      </c>
      <c r="J26" s="9">
        <v>0.25689060719893031</v>
      </c>
      <c r="K26" s="8">
        <v>1.1712147610241888</v>
      </c>
      <c r="L26" s="10">
        <v>0.24235540466596095</v>
      </c>
      <c r="M26" s="8">
        <v>2.1904233559296906</v>
      </c>
      <c r="N26" s="11">
        <v>-7.6991589324067663E-5</v>
      </c>
      <c r="O26" s="12">
        <v>-0.13693984188506111</v>
      </c>
      <c r="P26" s="13">
        <v>519.12487663846503</v>
      </c>
      <c r="Q26" s="13">
        <v>418.34657833186355</v>
      </c>
      <c r="R26" s="13">
        <v>41.982202983987271</v>
      </c>
      <c r="S26" s="8">
        <v>10.997045377664517</v>
      </c>
      <c r="T26" s="10">
        <v>0.83246254391653696</v>
      </c>
      <c r="U26" s="14">
        <v>0.31990344947233001</v>
      </c>
      <c r="V26" s="15">
        <v>578.679977085578</v>
      </c>
      <c r="W26" s="16">
        <v>8.7700697753743704</v>
      </c>
      <c r="X26" s="15">
        <v>580.00852680318292</v>
      </c>
      <c r="Y26" s="16">
        <v>8.9641597083516764</v>
      </c>
      <c r="Z26" s="15">
        <v>579.40857959402047</v>
      </c>
      <c r="AA26" s="16">
        <v>10.066661894829231</v>
      </c>
      <c r="AB26" s="15">
        <v>506.6476408732151</v>
      </c>
      <c r="AC26" s="16">
        <v>31.475535391006947</v>
      </c>
      <c r="AD26" s="15">
        <v>573.2480166626118</v>
      </c>
      <c r="AE26" s="16">
        <v>11.533468050129589</v>
      </c>
      <c r="AF26" s="15">
        <v>584.48043486753704</v>
      </c>
      <c r="AG26" s="16">
        <v>12.290337137852065</v>
      </c>
      <c r="AH26" s="15">
        <v>547.3391734498332</v>
      </c>
      <c r="AI26" s="16">
        <v>48.615010910545514</v>
      </c>
      <c r="AJ26" s="45">
        <v>-14.8663646072698</v>
      </c>
      <c r="AK26" s="17">
        <f t="shared" si="0"/>
        <v>-14.217442340837522</v>
      </c>
      <c r="AL26" s="7">
        <v>2.9339330268059571E-2</v>
      </c>
      <c r="AM26" s="8">
        <v>2.1333296544590223</v>
      </c>
      <c r="AN26" s="18">
        <v>10.636386153182405</v>
      </c>
      <c r="AO26" s="8">
        <v>1.5837336893507692</v>
      </c>
      <c r="AP26" s="7">
        <v>5.8260178417156992E-2</v>
      </c>
      <c r="AQ26" s="8">
        <v>1.2094659402934107</v>
      </c>
      <c r="AR26" s="18">
        <v>10.647340076265584</v>
      </c>
      <c r="AS26" s="8">
        <v>1.5845706198932121</v>
      </c>
      <c r="AT26" s="7">
        <v>5.7418329899575578E-2</v>
      </c>
      <c r="AU26" s="8">
        <v>1.4309682737884435</v>
      </c>
      <c r="AV26" s="37">
        <v>0.74355090284015879</v>
      </c>
      <c r="AW26" s="8">
        <v>2.1350724226634177</v>
      </c>
      <c r="AX26" s="40">
        <v>9.392017093819896E-2</v>
      </c>
      <c r="AY26" s="8">
        <v>1.5845706198932121</v>
      </c>
      <c r="AZ26" s="8">
        <v>0.74216246862320645</v>
      </c>
      <c r="BA26" s="18">
        <v>10.633341189356493</v>
      </c>
      <c r="BB26" s="8">
        <v>1.8166520045426122</v>
      </c>
      <c r="BC26" s="9">
        <v>5.8494194875321606E-2</v>
      </c>
      <c r="BD26" s="8">
        <v>2.2255577831443589</v>
      </c>
      <c r="BE26" s="10">
        <v>0.75848027875586599</v>
      </c>
      <c r="BF26" s="8">
        <v>2.628000030238657</v>
      </c>
      <c r="BG26" s="9">
        <v>9.4043817666732643E-2</v>
      </c>
      <c r="BH26" s="8">
        <v>1.8166520045426122</v>
      </c>
      <c r="BI26" s="19">
        <v>0.55020145351819505</v>
      </c>
    </row>
    <row r="27" spans="1:61" x14ac:dyDescent="0.25">
      <c r="A27" s="3" t="s">
        <v>72</v>
      </c>
      <c r="B27" s="3" t="s">
        <v>142</v>
      </c>
      <c r="C27" s="3" t="s">
        <v>146</v>
      </c>
      <c r="D27" s="3" t="s">
        <v>142</v>
      </c>
      <c r="E27" s="21" t="s">
        <v>89</v>
      </c>
      <c r="F27" s="22">
        <v>2.9524447969615146E-4</v>
      </c>
      <c r="G27" s="23">
        <v>50.007380317227778</v>
      </c>
      <c r="H27" s="24">
        <v>6.3196268886488979E-2</v>
      </c>
      <c r="I27" s="25">
        <v>2.6590176510489325</v>
      </c>
      <c r="J27" s="26">
        <v>0.2908346145368369</v>
      </c>
      <c r="K27" s="25">
        <v>2.5125641757562165</v>
      </c>
      <c r="L27" s="27">
        <v>0.15662012188270513</v>
      </c>
      <c r="M27" s="25">
        <v>2.4436172779030105</v>
      </c>
      <c r="N27" s="28">
        <v>6.4929776578369499E-4</v>
      </c>
      <c r="O27" s="29">
        <v>1.1783903452631572</v>
      </c>
      <c r="P27" s="30">
        <v>146.02074603832099</v>
      </c>
      <c r="Q27" s="30">
        <v>107.28680291154193</v>
      </c>
      <c r="R27" s="30">
        <v>7.1519378791363799</v>
      </c>
      <c r="S27" s="25">
        <v>1.9451124695128803</v>
      </c>
      <c r="T27" s="27">
        <v>0.75898302408712404</v>
      </c>
      <c r="U27" s="31">
        <v>0.51922760053234696</v>
      </c>
      <c r="V27" s="32">
        <v>359.72875367499614</v>
      </c>
      <c r="W27" s="33">
        <v>4.5838453790611631</v>
      </c>
      <c r="X27" s="32">
        <v>357.4680823154431</v>
      </c>
      <c r="Y27" s="33">
        <v>4.5653083930530745</v>
      </c>
      <c r="Z27" s="32">
        <v>351.50884018358454</v>
      </c>
      <c r="AA27" s="33">
        <v>5.3224985698390741</v>
      </c>
      <c r="AB27" s="32">
        <v>562.64441566764754</v>
      </c>
      <c r="AC27" s="33">
        <v>101.33898182410991</v>
      </c>
      <c r="AD27" s="32">
        <v>425.1531575716578</v>
      </c>
      <c r="AE27" s="33">
        <v>14.722459444257474</v>
      </c>
      <c r="AF27" s="32">
        <v>404.91660268217925</v>
      </c>
      <c r="AG27" s="33">
        <v>13.312160671813979</v>
      </c>
      <c r="AH27" s="32"/>
      <c r="AI27" s="33">
        <v>168.51758776167011</v>
      </c>
      <c r="AJ27" s="46">
        <f>100-(100*V27/AB27)</f>
        <v>36.064636267982287</v>
      </c>
      <c r="AK27" s="17">
        <f t="shared" si="0"/>
        <v>36.064636267982287</v>
      </c>
      <c r="AL27" s="24">
        <v>2.0235261181066333E-2</v>
      </c>
      <c r="AM27" s="25">
        <v>3.3206711478990152</v>
      </c>
      <c r="AN27" s="34">
        <v>17.331490635813196</v>
      </c>
      <c r="AO27" s="25">
        <v>1.2821377826397564</v>
      </c>
      <c r="AP27" s="24">
        <v>6.3196268886488979E-2</v>
      </c>
      <c r="AQ27" s="25">
        <v>2.6590176510489325</v>
      </c>
      <c r="AR27" s="34">
        <v>17.424858259872337</v>
      </c>
      <c r="AS27" s="25">
        <v>1.3101345803802069</v>
      </c>
      <c r="AT27" s="24">
        <v>5.8906016441655447E-2</v>
      </c>
      <c r="AU27" s="25">
        <v>4.6512610821922085</v>
      </c>
      <c r="AV27" s="38">
        <v>0.46611349291026932</v>
      </c>
      <c r="AW27" s="25">
        <v>4.8322543676242722</v>
      </c>
      <c r="AX27" s="41">
        <v>5.7389276003633125E-2</v>
      </c>
      <c r="AY27" s="25">
        <v>1.3101345803802069</v>
      </c>
      <c r="AZ27" s="25">
        <v>0.27112285089088162</v>
      </c>
      <c r="BA27" s="34">
        <v>17.843809931403069</v>
      </c>
      <c r="BB27" s="25">
        <v>1.555844048750916</v>
      </c>
      <c r="BC27" s="26">
        <v>3.9655141728239758E-2</v>
      </c>
      <c r="BD27" s="25">
        <v>6.4948223695519038</v>
      </c>
      <c r="BE27" s="27">
        <v>0.30641723726653558</v>
      </c>
      <c r="BF27" s="25">
        <v>6.9371693496421711</v>
      </c>
      <c r="BG27" s="26">
        <v>5.604184329716011E-2</v>
      </c>
      <c r="BH27" s="25">
        <v>1.555844048750916</v>
      </c>
      <c r="BI27" s="35">
        <v>0.387386854226204</v>
      </c>
    </row>
    <row r="28" spans="1:61" x14ac:dyDescent="0.25">
      <c r="A28" s="3" t="s">
        <v>72</v>
      </c>
      <c r="B28" s="3" t="s">
        <v>142</v>
      </c>
      <c r="C28" s="3" t="s">
        <v>146</v>
      </c>
      <c r="D28" s="3" t="s">
        <v>146</v>
      </c>
      <c r="E28" s="4" t="s">
        <v>90</v>
      </c>
      <c r="F28" s="5">
        <v>1.5549869872428257E-4</v>
      </c>
      <c r="G28" s="6">
        <v>100.00777325760473</v>
      </c>
      <c r="H28" s="7">
        <v>5.1671864342732785E-2</v>
      </c>
      <c r="I28" s="8">
        <v>4.222197097647765</v>
      </c>
      <c r="J28" s="9">
        <v>0.28834202178836865</v>
      </c>
      <c r="K28" s="8">
        <v>3.6289651537514032</v>
      </c>
      <c r="L28" s="10">
        <v>0.12556594051577902</v>
      </c>
      <c r="M28" s="8">
        <v>4.350451523037326</v>
      </c>
      <c r="N28" s="11">
        <v>-8.4708915469675886E-5</v>
      </c>
      <c r="O28" s="12">
        <v>-0.15418084959974621</v>
      </c>
      <c r="P28" s="13">
        <v>87.476510328309601</v>
      </c>
      <c r="Q28" s="13">
        <v>57.633389588527102</v>
      </c>
      <c r="R28" s="13">
        <v>3.8732760445819192</v>
      </c>
      <c r="S28" s="8">
        <v>1.1385150330342289</v>
      </c>
      <c r="T28" s="10">
        <v>0.68058603642858595</v>
      </c>
      <c r="U28" s="14">
        <v>0.69549054457992898</v>
      </c>
      <c r="V28" s="15">
        <v>322.6257909557462</v>
      </c>
      <c r="W28" s="16">
        <v>8.3807134804740908</v>
      </c>
      <c r="X28" s="15">
        <v>324.00537858618497</v>
      </c>
      <c r="Y28" s="16">
        <v>8.489071466625175</v>
      </c>
      <c r="Z28" s="15">
        <v>310.91977607728273</v>
      </c>
      <c r="AA28" s="16">
        <v>9.5650832856714132</v>
      </c>
      <c r="AB28" s="15">
        <v>165.1139695394528</v>
      </c>
      <c r="AC28" s="16">
        <v>149.99539476852655</v>
      </c>
      <c r="AD28" s="15">
        <v>427.13688618998816</v>
      </c>
      <c r="AE28" s="16">
        <v>21.154006328673958</v>
      </c>
      <c r="AF28" s="15">
        <v>440.80335218803702</v>
      </c>
      <c r="AG28" s="16">
        <v>21.594426546681106</v>
      </c>
      <c r="AH28" s="15" t="e">
        <v>#NUM!</v>
      </c>
      <c r="AI28" s="16" t="e">
        <v>#NUM!</v>
      </c>
      <c r="AJ28" s="45">
        <f>100-(100*V28/AB28)</f>
        <v>-95.395817722532001</v>
      </c>
      <c r="AK28" s="17">
        <f t="shared" si="0"/>
        <v>-95.395817722532001</v>
      </c>
      <c r="AL28" s="7">
        <v>2.2048294798540091E-2</v>
      </c>
      <c r="AM28" s="8">
        <v>4.9524932170553431</v>
      </c>
      <c r="AN28" s="18">
        <v>19.430109441420786</v>
      </c>
      <c r="AO28" s="8">
        <v>2.6480325691235604</v>
      </c>
      <c r="AP28" s="7">
        <v>5.1671864342732785E-2</v>
      </c>
      <c r="AQ28" s="8">
        <v>4.222197097647765</v>
      </c>
      <c r="AR28" s="18">
        <v>19.485258008510826</v>
      </c>
      <c r="AS28" s="8">
        <v>2.6632027215894922</v>
      </c>
      <c r="AT28" s="7">
        <v>4.9385319677499345E-2</v>
      </c>
      <c r="AU28" s="8">
        <v>6.4178719026249125</v>
      </c>
      <c r="AV28" s="37">
        <v>0.3494563877039476</v>
      </c>
      <c r="AW28" s="8">
        <v>6.9485054864182123</v>
      </c>
      <c r="AX28" s="40">
        <v>5.1320849822117681E-2</v>
      </c>
      <c r="AY28" s="8">
        <v>2.6632027215894922</v>
      </c>
      <c r="AZ28" s="8">
        <v>0.3832770553027669</v>
      </c>
      <c r="BA28" s="18">
        <v>20.23738727869781</v>
      </c>
      <c r="BB28" s="8">
        <v>3.1511685776335834</v>
      </c>
      <c r="BC28" s="9">
        <v>1.8200879880466255E-2</v>
      </c>
      <c r="BD28" s="8">
        <v>17.719044624363672</v>
      </c>
      <c r="BE28" s="10">
        <v>0.12400500535759701</v>
      </c>
      <c r="BF28" s="8">
        <v>18.320055946753563</v>
      </c>
      <c r="BG28" s="9">
        <v>4.9413493265141772E-2</v>
      </c>
      <c r="BH28" s="8">
        <v>3.1511685776335834</v>
      </c>
      <c r="BI28" s="19">
        <v>0.27360123144573745</v>
      </c>
    </row>
    <row r="29" spans="1:61" x14ac:dyDescent="0.25">
      <c r="A29" s="3" t="s">
        <v>74</v>
      </c>
      <c r="B29" s="3" t="s">
        <v>142</v>
      </c>
      <c r="C29" s="3" t="s">
        <v>146</v>
      </c>
      <c r="D29" s="3" t="s">
        <v>142</v>
      </c>
      <c r="E29" s="4" t="s">
        <v>91</v>
      </c>
      <c r="F29" s="5">
        <v>3.2146846430524161E-5</v>
      </c>
      <c r="G29" s="6">
        <v>70.711814495396368</v>
      </c>
      <c r="H29" s="7">
        <v>5.8912706772331062E-2</v>
      </c>
      <c r="I29" s="8">
        <v>1.2694402018463951</v>
      </c>
      <c r="J29" s="9">
        <v>0.23903099984821177</v>
      </c>
      <c r="K29" s="8">
        <v>1.2710803682046179</v>
      </c>
      <c r="L29" s="10">
        <v>0.24462453112685359</v>
      </c>
      <c r="M29" s="8">
        <v>2.6613963462647399</v>
      </c>
      <c r="N29" s="11">
        <v>-1.4415244795059737E-5</v>
      </c>
      <c r="O29" s="12">
        <v>-2.5660874094166355E-2</v>
      </c>
      <c r="P29" s="13">
        <v>439.664442893196</v>
      </c>
      <c r="Q29" s="13">
        <v>325.27908295436276</v>
      </c>
      <c r="R29" s="13">
        <v>34.954496690638791</v>
      </c>
      <c r="S29" s="8">
        <v>8.4532726419412043</v>
      </c>
      <c r="T29" s="10">
        <v>0.76424941366814503</v>
      </c>
      <c r="U29" s="14">
        <v>0.333493894137672</v>
      </c>
      <c r="V29" s="15">
        <v>570.16328005135085</v>
      </c>
      <c r="W29" s="16">
        <v>5.5803699743488675</v>
      </c>
      <c r="X29" s="15">
        <v>570.61581290860761</v>
      </c>
      <c r="Y29" s="16">
        <v>5.7063995211449079</v>
      </c>
      <c r="Z29" s="15">
        <v>569.72418220365876</v>
      </c>
      <c r="AA29" s="16">
        <v>6.3659772846044538</v>
      </c>
      <c r="AB29" s="15">
        <v>545.51635423061339</v>
      </c>
      <c r="AC29" s="16">
        <v>30.585053699561591</v>
      </c>
      <c r="AD29" s="15">
        <v>573.76192064319741</v>
      </c>
      <c r="AE29" s="16">
        <v>9.6334410467566673</v>
      </c>
      <c r="AF29" s="15">
        <v>577.9226450188728</v>
      </c>
      <c r="AG29" s="16">
        <v>10.619535894924114</v>
      </c>
      <c r="AH29" s="15">
        <v>520.73928059260038</v>
      </c>
      <c r="AI29" s="16">
        <v>44.15101364025589</v>
      </c>
      <c r="AJ29" s="45">
        <v>-4.7209739233551096</v>
      </c>
      <c r="AK29" s="17">
        <f t="shared" si="0"/>
        <v>-4.5180910947205462</v>
      </c>
      <c r="AL29" s="7">
        <v>2.9005418738965227E-2</v>
      </c>
      <c r="AM29" s="8">
        <v>1.8639311326421704</v>
      </c>
      <c r="AN29" s="18">
        <v>10.807441276084422</v>
      </c>
      <c r="AO29" s="8">
        <v>1.0218508036136742</v>
      </c>
      <c r="AP29" s="7">
        <v>5.8912706772331062E-2</v>
      </c>
      <c r="AQ29" s="8">
        <v>1.2694402018463951</v>
      </c>
      <c r="AR29" s="18">
        <v>10.813629403981988</v>
      </c>
      <c r="AS29" s="8">
        <v>1.0226526089031986</v>
      </c>
      <c r="AT29" s="7">
        <v>5.8445410973309221E-2</v>
      </c>
      <c r="AU29" s="8">
        <v>1.3997272240314769</v>
      </c>
      <c r="AV29" s="37">
        <v>0.7452126352723395</v>
      </c>
      <c r="AW29" s="8">
        <v>1.7335093481695976</v>
      </c>
      <c r="AX29" s="40">
        <v>9.2475889698213826E-2</v>
      </c>
      <c r="AY29" s="8">
        <v>1.0226526089031986</v>
      </c>
      <c r="AZ29" s="8">
        <v>0.58993198391633228</v>
      </c>
      <c r="BA29" s="18">
        <v>10.82233769102678</v>
      </c>
      <c r="BB29" s="8">
        <v>1.1674821236408928</v>
      </c>
      <c r="BC29" s="9">
        <v>5.7787805632878629E-2</v>
      </c>
      <c r="BD29" s="8">
        <v>2.0120722630574535</v>
      </c>
      <c r="BE29" s="10">
        <v>0.73623489380373919</v>
      </c>
      <c r="BF29" s="8">
        <v>2.24929474772309</v>
      </c>
      <c r="BG29" s="9">
        <v>9.2401478178706142E-2</v>
      </c>
      <c r="BH29" s="8">
        <v>1.1674821236408928</v>
      </c>
      <c r="BI29" s="19">
        <v>0.45199852739902285</v>
      </c>
    </row>
    <row r="30" spans="1:61" x14ac:dyDescent="0.25">
      <c r="A30" s="3" t="s">
        <v>72</v>
      </c>
      <c r="B30" s="3" t="s">
        <v>142</v>
      </c>
      <c r="C30" s="3" t="s">
        <v>146</v>
      </c>
      <c r="D30" s="3" t="s">
        <v>142</v>
      </c>
      <c r="E30" s="4" t="s">
        <v>92</v>
      </c>
      <c r="F30" s="5">
        <v>2.7826317672669312E-4</v>
      </c>
      <c r="G30" s="6">
        <v>40.830508453450562</v>
      </c>
      <c r="H30" s="7">
        <v>6.2826718801711284E-2</v>
      </c>
      <c r="I30" s="8">
        <v>2.1464886167228214</v>
      </c>
      <c r="J30" s="9">
        <v>0.31180640877814553</v>
      </c>
      <c r="K30" s="8">
        <v>1.9664395115581306</v>
      </c>
      <c r="L30" s="10">
        <v>0.21445725386125927</v>
      </c>
      <c r="M30" s="8">
        <v>2.8367715224458698</v>
      </c>
      <c r="N30" s="11">
        <v>3.8841782610688028E-4</v>
      </c>
      <c r="O30" s="12">
        <v>0.69614847935650559</v>
      </c>
      <c r="P30" s="13">
        <v>169.22525658337801</v>
      </c>
      <c r="Q30" s="13">
        <v>149.64725830334069</v>
      </c>
      <c r="R30" s="13">
        <v>11.654110952378277</v>
      </c>
      <c r="S30" s="8">
        <v>3.5212643213988328</v>
      </c>
      <c r="T30" s="10">
        <v>0.913490225681448</v>
      </c>
      <c r="U30" s="14">
        <v>1.34702829583101</v>
      </c>
      <c r="V30" s="15">
        <v>498.09836750114789</v>
      </c>
      <c r="W30" s="16">
        <v>11.815886572882174</v>
      </c>
      <c r="X30" s="15">
        <v>497.14720732125596</v>
      </c>
      <c r="Y30" s="16">
        <v>11.963475610127677</v>
      </c>
      <c r="Z30" s="15">
        <v>493.08469154249048</v>
      </c>
      <c r="AA30" s="16">
        <v>13.923295537940032</v>
      </c>
      <c r="AB30" s="15">
        <v>558.08937093723466</v>
      </c>
      <c r="AC30" s="16">
        <v>79.470967318708986</v>
      </c>
      <c r="AD30" s="15">
        <v>531.20701179825039</v>
      </c>
      <c r="AE30" s="16">
        <v>19.432378028687921</v>
      </c>
      <c r="AF30" s="15">
        <v>523.97795354939183</v>
      </c>
      <c r="AG30" s="16">
        <v>18.800890984466502</v>
      </c>
      <c r="AH30" s="15"/>
      <c r="AI30" s="16">
        <v>148.09733812552619</v>
      </c>
      <c r="AJ30" s="45">
        <f>100-(100*V30/AB30)</f>
        <v>10.749354236103812</v>
      </c>
      <c r="AK30" s="17">
        <f t="shared" si="0"/>
        <v>10.749354236103812</v>
      </c>
      <c r="AL30" s="7">
        <v>2.626275376762166E-2</v>
      </c>
      <c r="AM30" s="8">
        <v>3.634816907493108</v>
      </c>
      <c r="AN30" s="18">
        <v>12.386405386965739</v>
      </c>
      <c r="AO30" s="8">
        <v>2.4565165250924967</v>
      </c>
      <c r="AP30" s="7">
        <v>6.2826718801711284E-2</v>
      </c>
      <c r="AQ30" s="8">
        <v>2.1464886167228214</v>
      </c>
      <c r="AR30" s="18">
        <v>12.448488730041936</v>
      </c>
      <c r="AS30" s="8">
        <v>2.4650264925859617</v>
      </c>
      <c r="AT30" s="7">
        <v>5.8783038992352814E-2</v>
      </c>
      <c r="AU30" s="8">
        <v>3.6447526665516343</v>
      </c>
      <c r="AV30" s="37">
        <v>0.65108348427113072</v>
      </c>
      <c r="AW30" s="8">
        <v>4.4000656369520099</v>
      </c>
      <c r="AX30" s="40">
        <v>8.033103629573124E-2</v>
      </c>
      <c r="AY30" s="8">
        <v>2.4650264925859617</v>
      </c>
      <c r="AZ30" s="8">
        <v>0.56022493662015505</v>
      </c>
      <c r="BA30" s="18">
        <v>12.580018464490058</v>
      </c>
      <c r="BB30" s="8">
        <v>2.9330819452537007</v>
      </c>
      <c r="BC30" s="9">
        <v>5.021610130561479E-2</v>
      </c>
      <c r="BD30" s="8">
        <v>6.3819344118470758</v>
      </c>
      <c r="BE30" s="10">
        <v>0.55038043605119846</v>
      </c>
      <c r="BF30" s="8">
        <v>7.0742195324397263</v>
      </c>
      <c r="BG30" s="9">
        <v>7.9491139287491963E-2</v>
      </c>
      <c r="BH30" s="8">
        <v>2.9330819452537007</v>
      </c>
      <c r="BI30" s="19">
        <v>0.43178551978539881</v>
      </c>
    </row>
    <row r="31" spans="1:61" x14ac:dyDescent="0.25">
      <c r="A31" s="3" t="s">
        <v>74</v>
      </c>
      <c r="B31" s="3" t="s">
        <v>142</v>
      </c>
      <c r="C31" s="3" t="s">
        <v>146</v>
      </c>
      <c r="D31" s="3" t="s">
        <v>142</v>
      </c>
      <c r="E31" s="4" t="s">
        <v>93</v>
      </c>
      <c r="F31" s="5">
        <v>-1.49751366125235E-5</v>
      </c>
      <c r="G31" s="6">
        <v>100.00074837902461</v>
      </c>
      <c r="H31" s="7">
        <v>5.881512766913885E-2</v>
      </c>
      <c r="I31" s="8">
        <v>1.2262130601530703</v>
      </c>
      <c r="J31" s="9">
        <v>0.2466442515151745</v>
      </c>
      <c r="K31" s="8">
        <v>1.2142946733789513</v>
      </c>
      <c r="L31" s="10">
        <v>0.2544916511414782</v>
      </c>
      <c r="M31" s="8">
        <v>2.3031101337928042</v>
      </c>
      <c r="N31" s="11">
        <v>-5.0835328327071596E-5</v>
      </c>
      <c r="O31" s="12">
        <v>-9.0366985521656423E-2</v>
      </c>
      <c r="P31" s="13">
        <v>463.27395168698899</v>
      </c>
      <c r="Q31" s="13">
        <v>360.49998488097458</v>
      </c>
      <c r="R31" s="13">
        <v>37.897291094132733</v>
      </c>
      <c r="S31" s="8">
        <v>9.5023404859116791</v>
      </c>
      <c r="T31" s="10">
        <v>0.80383644067615601</v>
      </c>
      <c r="U31" s="14">
        <v>0.32601488750725299</v>
      </c>
      <c r="V31" s="15">
        <v>586.041422710083</v>
      </c>
      <c r="W31" s="16">
        <v>5.9388797244684239</v>
      </c>
      <c r="X31" s="15">
        <v>586.39842106850494</v>
      </c>
      <c r="Y31" s="16">
        <v>6.0754615795134299</v>
      </c>
      <c r="Z31" s="15">
        <v>586.4426262203034</v>
      </c>
      <c r="AA31" s="16">
        <v>6.8085525139478094</v>
      </c>
      <c r="AB31" s="15">
        <v>567.32124030969806</v>
      </c>
      <c r="AC31" s="16">
        <v>27.772571991955942</v>
      </c>
      <c r="AD31" s="15">
        <v>582.92613849344139</v>
      </c>
      <c r="AE31" s="16">
        <v>9.5385946710829721</v>
      </c>
      <c r="AF31" s="15">
        <v>586.05519405166297</v>
      </c>
      <c r="AG31" s="16">
        <v>10.521880331435099</v>
      </c>
      <c r="AH31" s="15">
        <v>588.74319605421351</v>
      </c>
      <c r="AI31" s="16">
        <v>43.66926852924248</v>
      </c>
      <c r="AJ31" s="45">
        <v>-3.4520877655320099</v>
      </c>
      <c r="AK31" s="17">
        <f t="shared" si="0"/>
        <v>-3.2997499600342195</v>
      </c>
      <c r="AL31" s="7">
        <v>2.9419530465641275E-2</v>
      </c>
      <c r="AM31" s="8">
        <v>1.8215278991721922</v>
      </c>
      <c r="AN31" s="18">
        <v>10.510301146042956</v>
      </c>
      <c r="AO31" s="8">
        <v>1.0598162454714548</v>
      </c>
      <c r="AP31" s="7">
        <v>5.881512766913885E-2</v>
      </c>
      <c r="AQ31" s="8">
        <v>1.2262130601530703</v>
      </c>
      <c r="AR31" s="18">
        <v>10.507504004009599</v>
      </c>
      <c r="AS31" s="8">
        <v>1.0601503452617107</v>
      </c>
      <c r="AT31" s="7">
        <v>5.9032648293239252E-2</v>
      </c>
      <c r="AU31" s="8">
        <v>1.2757144972101415</v>
      </c>
      <c r="AV31" s="37">
        <v>0.77462940233626121</v>
      </c>
      <c r="AW31" s="8">
        <v>1.6587242787608338</v>
      </c>
      <c r="AX31" s="40">
        <v>9.5170080317685923E-2</v>
      </c>
      <c r="AY31" s="8">
        <v>1.0601503452617107</v>
      </c>
      <c r="AZ31" s="8">
        <v>0.63913596661990524</v>
      </c>
      <c r="BA31" s="18">
        <v>10.499983796980157</v>
      </c>
      <c r="BB31" s="8">
        <v>1.2146015037098601</v>
      </c>
      <c r="BC31" s="9">
        <v>5.9617459542328541E-2</v>
      </c>
      <c r="BD31" s="8">
        <v>2.0131713709380539</v>
      </c>
      <c r="BE31" s="10">
        <v>0.78286361966200213</v>
      </c>
      <c r="BF31" s="8">
        <v>2.2729279916454903</v>
      </c>
      <c r="BG31" s="9">
        <v>9.5238242204488399E-2</v>
      </c>
      <c r="BH31" s="8">
        <v>1.2146015037098601</v>
      </c>
      <c r="BI31" s="19">
        <v>0.46882998012772903</v>
      </c>
    </row>
    <row r="32" spans="1:61" x14ac:dyDescent="0.25">
      <c r="A32" s="3" t="s">
        <v>74</v>
      </c>
      <c r="B32" s="3" t="s">
        <v>142</v>
      </c>
      <c r="C32" s="3" t="s">
        <v>146</v>
      </c>
      <c r="D32" s="3" t="s">
        <v>142</v>
      </c>
      <c r="E32" s="4" t="s">
        <v>94</v>
      </c>
      <c r="F32" s="5">
        <v>4.6577576423776032E-5</v>
      </c>
      <c r="G32" s="6">
        <v>57.736371169381769</v>
      </c>
      <c r="H32" s="7">
        <v>5.9632077711800777E-2</v>
      </c>
      <c r="I32" s="8">
        <v>1.2406624702410185</v>
      </c>
      <c r="J32" s="9">
        <v>0.23221297175052724</v>
      </c>
      <c r="K32" s="8">
        <v>1.2654545637043702</v>
      </c>
      <c r="L32" s="10">
        <v>0.25418575549095945</v>
      </c>
      <c r="M32" s="8">
        <v>2.4631408556431129</v>
      </c>
      <c r="N32" s="11">
        <v>-6.6375073040643415E-7</v>
      </c>
      <c r="O32" s="12">
        <v>-1.1794713347589385E-3</v>
      </c>
      <c r="P32" s="13">
        <v>478.00001027759299</v>
      </c>
      <c r="Q32" s="13">
        <v>351.97260007532486</v>
      </c>
      <c r="R32" s="13">
        <v>39.32709886226769</v>
      </c>
      <c r="S32" s="8">
        <v>9.2218057857409015</v>
      </c>
      <c r="T32" s="10">
        <v>0.760643698870762</v>
      </c>
      <c r="U32" s="14">
        <v>0.33398597157680099</v>
      </c>
      <c r="V32" s="15">
        <v>589.15234399494557</v>
      </c>
      <c r="W32" s="16">
        <v>5.7641919265611099</v>
      </c>
      <c r="X32" s="15">
        <v>589.62536595649135</v>
      </c>
      <c r="Y32" s="16">
        <v>5.8967303475170727</v>
      </c>
      <c r="Z32" s="15">
        <v>590.47705128326595</v>
      </c>
      <c r="AA32" s="16">
        <v>6.5604962358930363</v>
      </c>
      <c r="AB32" s="15">
        <v>564.47206437388445</v>
      </c>
      <c r="AC32" s="16">
        <v>30.934647012669746</v>
      </c>
      <c r="AD32" s="15">
        <v>578.19774396641003</v>
      </c>
      <c r="AE32" s="16">
        <v>9.7911496763976036</v>
      </c>
      <c r="AF32" s="15">
        <v>582.5829638319309</v>
      </c>
      <c r="AG32" s="16">
        <v>10.736277488187566</v>
      </c>
      <c r="AH32" s="15">
        <v>633.83609466604503</v>
      </c>
      <c r="AI32" s="16">
        <v>40.246466453438963</v>
      </c>
      <c r="AJ32" s="45">
        <v>-4.5752489126790197</v>
      </c>
      <c r="AK32" s="17">
        <f t="shared" si="0"/>
        <v>-4.3722765356752546</v>
      </c>
      <c r="AL32" s="7">
        <v>2.9242703124753966E-2</v>
      </c>
      <c r="AM32" s="8">
        <v>1.8695617410138952</v>
      </c>
      <c r="AN32" s="18">
        <v>10.440812153458959</v>
      </c>
      <c r="AO32" s="8">
        <v>1.0226590230648556</v>
      </c>
      <c r="AP32" s="7">
        <v>5.9632077711800777E-2</v>
      </c>
      <c r="AQ32" s="8">
        <v>1.2406624702410185</v>
      </c>
      <c r="AR32" s="18">
        <v>10.449460899619815</v>
      </c>
      <c r="AS32" s="8">
        <v>1.0237767573825309</v>
      </c>
      <c r="AT32" s="7">
        <v>5.8955458420394763E-2</v>
      </c>
      <c r="AU32" s="8">
        <v>1.420278493458522</v>
      </c>
      <c r="AV32" s="37">
        <v>0.77791368235080727</v>
      </c>
      <c r="AW32" s="8">
        <v>1.7508026296351906</v>
      </c>
      <c r="AX32" s="40">
        <v>9.5698716862645347E-2</v>
      </c>
      <c r="AY32" s="8">
        <v>1.0237767573825309</v>
      </c>
      <c r="AZ32" s="8">
        <v>0.58474709830419447</v>
      </c>
      <c r="BA32" s="18">
        <v>10.424930504107722</v>
      </c>
      <c r="BB32" s="8">
        <v>1.162711725466437</v>
      </c>
      <c r="BC32" s="9">
        <v>6.0874550335060944E-2</v>
      </c>
      <c r="BD32" s="8">
        <v>1.8694216569626911</v>
      </c>
      <c r="BE32" s="10">
        <v>0.80512603867152577</v>
      </c>
      <c r="BF32" s="8">
        <v>2.1093702983553535</v>
      </c>
      <c r="BG32" s="9">
        <v>9.5923900845763077E-2</v>
      </c>
      <c r="BH32" s="8">
        <v>1.162711725466437</v>
      </c>
      <c r="BI32" s="19">
        <v>0.47023853891335043</v>
      </c>
    </row>
    <row r="33" spans="1:61" x14ac:dyDescent="0.25">
      <c r="A33" s="3" t="s">
        <v>74</v>
      </c>
      <c r="B33" s="3" t="s">
        <v>142</v>
      </c>
      <c r="C33" s="3" t="s">
        <v>146</v>
      </c>
      <c r="D33" s="3" t="s">
        <v>142</v>
      </c>
      <c r="E33" s="4" t="s">
        <v>95</v>
      </c>
      <c r="F33" s="5">
        <v>-1.594259844094462E-5</v>
      </c>
      <c r="G33" s="6">
        <v>100.00079750174797</v>
      </c>
      <c r="H33" s="7">
        <v>6.0882890509489439E-2</v>
      </c>
      <c r="I33" s="8">
        <v>4.5797343630379999</v>
      </c>
      <c r="J33" s="9">
        <v>0.24716486908629282</v>
      </c>
      <c r="K33" s="8">
        <v>2.9178779393492071</v>
      </c>
      <c r="L33" s="10">
        <v>0.23982954006278415</v>
      </c>
      <c r="M33" s="8">
        <v>4.4345170341487057</v>
      </c>
      <c r="N33" s="11">
        <v>1.3763197127837664E-4</v>
      </c>
      <c r="O33" s="12">
        <v>0.24520585287975621</v>
      </c>
      <c r="P33" s="13">
        <v>470.55615021166199</v>
      </c>
      <c r="Q33" s="13">
        <v>351.52517546174136</v>
      </c>
      <c r="R33" s="13">
        <v>36.807156038007037</v>
      </c>
      <c r="S33" s="8">
        <v>9.0156042827087557</v>
      </c>
      <c r="T33" s="10">
        <v>0.77169431552141099</v>
      </c>
      <c r="U33" s="14">
        <v>0.33074568248927599</v>
      </c>
      <c r="V33" s="15">
        <v>563.27858310258887</v>
      </c>
      <c r="W33" s="16">
        <v>20.929147016578369</v>
      </c>
      <c r="X33" s="15">
        <v>561.80306499129267</v>
      </c>
      <c r="Y33" s="16">
        <v>21.337822652398525</v>
      </c>
      <c r="Z33" s="15">
        <v>560.7343360791981</v>
      </c>
      <c r="AA33" s="16">
        <v>23.768928381982452</v>
      </c>
      <c r="AB33" s="15">
        <v>642.27776616707081</v>
      </c>
      <c r="AC33" s="16">
        <v>98.39403268900486</v>
      </c>
      <c r="AD33" s="15">
        <v>583.86627303351645</v>
      </c>
      <c r="AE33" s="16">
        <v>28.039840254159177</v>
      </c>
      <c r="AF33" s="15">
        <v>570.45318205276089</v>
      </c>
      <c r="AG33" s="16">
        <v>32.433655347208365</v>
      </c>
      <c r="AH33" s="15">
        <v>500.58206225047093</v>
      </c>
      <c r="AI33" s="16">
        <v>136.78572975873945</v>
      </c>
      <c r="AJ33" s="45">
        <v>12.8438975504707</v>
      </c>
      <c r="AK33" s="17">
        <f t="shared" si="0"/>
        <v>12.299847079547277</v>
      </c>
      <c r="AL33" s="7">
        <v>2.862521831366549E-2</v>
      </c>
      <c r="AM33" s="8">
        <v>5.7662047594662962</v>
      </c>
      <c r="AN33" s="18">
        <v>10.954842357183749</v>
      </c>
      <c r="AO33" s="8">
        <v>3.8801858647426322</v>
      </c>
      <c r="AP33" s="7">
        <v>6.0882890509489439E-2</v>
      </c>
      <c r="AQ33" s="8">
        <v>4.5797343630379999</v>
      </c>
      <c r="AR33" s="18">
        <v>10.951731691023511</v>
      </c>
      <c r="AS33" s="8">
        <v>3.880289764164814</v>
      </c>
      <c r="AT33" s="7">
        <v>6.1113882378300087E-2</v>
      </c>
      <c r="AU33" s="8">
        <v>4.5767541425694356</v>
      </c>
      <c r="AV33" s="37">
        <v>0.76941093336194721</v>
      </c>
      <c r="AW33" s="8">
        <v>6.0002772548782044</v>
      </c>
      <c r="AX33" s="40">
        <v>9.130976070383838E-2</v>
      </c>
      <c r="AY33" s="8">
        <v>3.880289764164814</v>
      </c>
      <c r="AZ33" s="8">
        <v>0.64668507792871599</v>
      </c>
      <c r="BA33" s="18">
        <v>11.00362627517613</v>
      </c>
      <c r="BB33" s="8">
        <v>4.4259230821762694</v>
      </c>
      <c r="BC33" s="9">
        <v>5.7260293996559838E-2</v>
      </c>
      <c r="BD33" s="8">
        <v>6.2122141705542413</v>
      </c>
      <c r="BE33" s="10">
        <v>0.71749522737396842</v>
      </c>
      <c r="BF33" s="8">
        <v>7.0749331222339187</v>
      </c>
      <c r="BG33" s="9">
        <v>9.0879131569196581E-2</v>
      </c>
      <c r="BH33" s="8">
        <v>4.4259230821762694</v>
      </c>
      <c r="BI33" s="19">
        <v>0.49582856989387597</v>
      </c>
    </row>
    <row r="34" spans="1:61" x14ac:dyDescent="0.25">
      <c r="A34" s="3" t="s">
        <v>143</v>
      </c>
      <c r="B34" s="3" t="s">
        <v>142</v>
      </c>
      <c r="C34" s="3"/>
      <c r="D34" s="3" t="s">
        <v>142</v>
      </c>
      <c r="E34" s="4" t="s">
        <v>96</v>
      </c>
      <c r="F34" s="5">
        <v>-4.2395777150436936E-21</v>
      </c>
      <c r="G34" s="20">
        <v>9999</v>
      </c>
      <c r="H34" s="7">
        <v>6.0324149974680018E-2</v>
      </c>
      <c r="I34" s="8">
        <v>3.2877874262523163</v>
      </c>
      <c r="J34" s="9">
        <v>0.24585852480731746</v>
      </c>
      <c r="K34" s="8">
        <v>3.5424707602153043</v>
      </c>
      <c r="L34" s="10">
        <v>0.23206014634580036</v>
      </c>
      <c r="M34" s="8">
        <v>3.5151291068307682</v>
      </c>
      <c r="N34" s="11">
        <v>1.4208236024652507E-4</v>
      </c>
      <c r="O34" s="12">
        <v>0.25369579679816195</v>
      </c>
      <c r="P34" s="13">
        <v>195.814675365748</v>
      </c>
      <c r="Q34" s="13">
        <v>146.79546449520393</v>
      </c>
      <c r="R34" s="13">
        <v>14.65458133564152</v>
      </c>
      <c r="S34" s="8">
        <v>3.5678671926886731</v>
      </c>
      <c r="T34" s="10">
        <v>0.77440423982680995</v>
      </c>
      <c r="U34" s="14">
        <v>0.45899540082402901</v>
      </c>
      <c r="V34" s="15">
        <v>539.81610505108301</v>
      </c>
      <c r="W34" s="16">
        <v>6.0573519533596309</v>
      </c>
      <c r="X34" s="15">
        <v>538.50225270345743</v>
      </c>
      <c r="Y34" s="16">
        <v>6.2795578964363967</v>
      </c>
      <c r="Z34" s="15">
        <v>538.19155541342207</v>
      </c>
      <c r="AA34" s="16">
        <v>7.2760608553331725</v>
      </c>
      <c r="AB34" s="15">
        <v>614.25023661491889</v>
      </c>
      <c r="AC34" s="16">
        <v>71.013747946063404</v>
      </c>
      <c r="AD34" s="15">
        <v>552.86209254682649</v>
      </c>
      <c r="AE34" s="16">
        <v>20.498994836011448</v>
      </c>
      <c r="AF34" s="15">
        <v>540.99785290083764</v>
      </c>
      <c r="AG34" s="16">
        <v>23.186624677711794</v>
      </c>
      <c r="AH34" s="15">
        <v>519.99420482008759</v>
      </c>
      <c r="AI34" s="16">
        <v>112.72209881888826</v>
      </c>
      <c r="AJ34" s="45">
        <v>12.631316264194799</v>
      </c>
      <c r="AK34" s="17">
        <f t="shared" si="0"/>
        <v>12.117884068557487</v>
      </c>
      <c r="AL34" s="7">
        <v>2.7127292035131756E-2</v>
      </c>
      <c r="AM34" s="8">
        <v>4.3435133570389501</v>
      </c>
      <c r="AN34" s="18">
        <v>11.448848232049835</v>
      </c>
      <c r="AO34" s="8">
        <v>1.1697519430994558</v>
      </c>
      <c r="AP34" s="7">
        <v>6.0324149974680018E-2</v>
      </c>
      <c r="AQ34" s="8">
        <v>3.2877874262523163</v>
      </c>
      <c r="AR34" s="18">
        <v>11.448848232049835</v>
      </c>
      <c r="AS34" s="8">
        <v>1.1697519430994558</v>
      </c>
      <c r="AT34" s="7">
        <v>6.0324149974680025E-2</v>
      </c>
      <c r="AU34" s="8">
        <v>3.2877874262523159</v>
      </c>
      <c r="AV34" s="37">
        <v>0.72649175095403395</v>
      </c>
      <c r="AW34" s="8">
        <v>3.4896798948625332</v>
      </c>
      <c r="AX34" s="40">
        <v>8.7345030673094792E-2</v>
      </c>
      <c r="AY34" s="8">
        <v>1.1697519430994558</v>
      </c>
      <c r="AZ34" s="8">
        <v>0.33520322159678634</v>
      </c>
      <c r="BA34" s="18">
        <v>11.484874184597961</v>
      </c>
      <c r="BB34" s="8">
        <v>1.4091664260480785</v>
      </c>
      <c r="BC34" s="9">
        <v>5.7768188379399905E-2</v>
      </c>
      <c r="BD34" s="8">
        <v>5.1363751608747288</v>
      </c>
      <c r="BE34" s="10">
        <v>0.69352765086738166</v>
      </c>
      <c r="BF34" s="8">
        <v>5.6307297658520561</v>
      </c>
      <c r="BG34" s="9">
        <v>8.7071045265874281E-2</v>
      </c>
      <c r="BH34" s="8">
        <v>1.4091664260480785</v>
      </c>
      <c r="BI34" s="19">
        <v>0.46054529324652971</v>
      </c>
    </row>
    <row r="35" spans="1:61" x14ac:dyDescent="0.25">
      <c r="A35" s="3" t="s">
        <v>74</v>
      </c>
      <c r="B35" s="3" t="s">
        <v>142</v>
      </c>
      <c r="C35" s="3" t="s">
        <v>146</v>
      </c>
      <c r="D35" s="3" t="s">
        <v>142</v>
      </c>
      <c r="E35" s="4" t="s">
        <v>97</v>
      </c>
      <c r="F35" s="5">
        <v>1.1169263522870402E-4</v>
      </c>
      <c r="G35" s="6">
        <v>35.357313248708401</v>
      </c>
      <c r="H35" s="7">
        <v>5.9230560404062653E-2</v>
      </c>
      <c r="I35" s="8">
        <v>1.1839465429484832</v>
      </c>
      <c r="J35" s="9">
        <v>0.23949744466627551</v>
      </c>
      <c r="K35" s="8">
        <v>1.1869845040082487</v>
      </c>
      <c r="L35" s="10">
        <v>0.2449529339882775</v>
      </c>
      <c r="M35" s="8">
        <v>2.1973373128551263</v>
      </c>
      <c r="N35" s="11">
        <v>-2.5455641836478384E-5</v>
      </c>
      <c r="O35" s="12">
        <v>-4.5242577843310407E-2</v>
      </c>
      <c r="P35" s="13">
        <v>530.87448577579801</v>
      </c>
      <c r="Q35" s="13">
        <v>393.05698918087438</v>
      </c>
      <c r="R35" s="13">
        <v>43.559847295601166</v>
      </c>
      <c r="S35" s="8">
        <v>10.571004870186892</v>
      </c>
      <c r="T35" s="10">
        <v>0.764828374131582</v>
      </c>
      <c r="U35" s="14">
        <v>0.317934067491009</v>
      </c>
      <c r="V35" s="15">
        <v>586.74025524091462</v>
      </c>
      <c r="W35" s="16">
        <v>5.8670121810353448</v>
      </c>
      <c r="X35" s="15">
        <v>588.10988112374434</v>
      </c>
      <c r="Y35" s="16">
        <v>6.0000374946220898</v>
      </c>
      <c r="Z35" s="15">
        <v>586.93119159281628</v>
      </c>
      <c r="AA35" s="16">
        <v>6.6795393585867693</v>
      </c>
      <c r="AB35" s="15">
        <v>513.79592543831427</v>
      </c>
      <c r="AC35" s="16">
        <v>34.644865784017199</v>
      </c>
      <c r="AD35" s="15">
        <v>585.1721147710681</v>
      </c>
      <c r="AE35" s="16">
        <v>9.9841494794356933</v>
      </c>
      <c r="AF35" s="15">
        <v>597.78810077772084</v>
      </c>
      <c r="AG35" s="16">
        <v>10.571057539954618</v>
      </c>
      <c r="AH35" s="15">
        <v>524.38715986064676</v>
      </c>
      <c r="AI35" s="16">
        <v>41.840314878878537</v>
      </c>
      <c r="AJ35" s="45">
        <v>-14.854313267391801</v>
      </c>
      <c r="AK35" s="17">
        <f t="shared" si="0"/>
        <v>-14.197140574902818</v>
      </c>
      <c r="AL35" s="7">
        <v>3.0017267110499235E-2</v>
      </c>
      <c r="AM35" s="8">
        <v>1.7946410401443267</v>
      </c>
      <c r="AN35" s="18">
        <v>10.473578934385062</v>
      </c>
      <c r="AO35" s="8">
        <v>1.0437630358909062</v>
      </c>
      <c r="AP35" s="7">
        <v>5.9230560404062653E-2</v>
      </c>
      <c r="AQ35" s="8">
        <v>1.1839465429484832</v>
      </c>
      <c r="AR35" s="18">
        <v>10.494411651846935</v>
      </c>
      <c r="AS35" s="8">
        <v>1.0461296973806091</v>
      </c>
      <c r="AT35" s="7">
        <v>5.7605346943466876E-2</v>
      </c>
      <c r="AU35" s="8">
        <v>1.5769821755269009</v>
      </c>
      <c r="AV35" s="37">
        <v>0.75684330861629301</v>
      </c>
      <c r="AW35" s="8">
        <v>1.8924217621004049</v>
      </c>
      <c r="AX35" s="40">
        <v>9.5288810194900986E-2</v>
      </c>
      <c r="AY35" s="8">
        <v>1.0461296973806091</v>
      </c>
      <c r="AZ35" s="8">
        <v>0.55279944372416567</v>
      </c>
      <c r="BA35" s="18">
        <v>10.490839961046694</v>
      </c>
      <c r="BB35" s="8">
        <v>1.1906389446093</v>
      </c>
      <c r="BC35" s="9">
        <v>5.7883983658828797E-2</v>
      </c>
      <c r="BD35" s="8">
        <v>1.9079548263021311</v>
      </c>
      <c r="BE35" s="10">
        <v>0.7607630748837606</v>
      </c>
      <c r="BF35" s="8">
        <v>2.1445803771794334</v>
      </c>
      <c r="BG35" s="9">
        <v>9.5321252036355331E-2</v>
      </c>
      <c r="BH35" s="8">
        <v>1.1906389446093</v>
      </c>
      <c r="BI35" s="19">
        <v>0.46536676653087683</v>
      </c>
    </row>
    <row r="36" spans="1:61" x14ac:dyDescent="0.25">
      <c r="A36" s="3" t="s">
        <v>74</v>
      </c>
      <c r="B36" s="3" t="s">
        <v>142</v>
      </c>
      <c r="C36" s="3" t="s">
        <v>146</v>
      </c>
      <c r="D36" s="3" t="s">
        <v>142</v>
      </c>
      <c r="E36" s="4" t="s">
        <v>98</v>
      </c>
      <c r="F36" s="5">
        <v>1.3340575105074766E-5</v>
      </c>
      <c r="G36" s="6">
        <v>100.0006679015365</v>
      </c>
      <c r="H36" s="7">
        <v>5.7931485894714377E-2</v>
      </c>
      <c r="I36" s="8">
        <v>1.1646976089967453</v>
      </c>
      <c r="J36" s="9">
        <v>0.2788865678572337</v>
      </c>
      <c r="K36" s="8">
        <v>1.0862955559469771</v>
      </c>
      <c r="L36" s="10">
        <v>0.24471752055021126</v>
      </c>
      <c r="M36" s="8">
        <v>2.5327849449017563</v>
      </c>
      <c r="N36" s="11">
        <v>-1.1814049232626033E-4</v>
      </c>
      <c r="O36" s="12">
        <v>-0.2099332140663836</v>
      </c>
      <c r="P36" s="13">
        <v>543.83575341451206</v>
      </c>
      <c r="Q36" s="13">
        <v>481.39714808673432</v>
      </c>
      <c r="R36" s="13">
        <v>44.75673080015482</v>
      </c>
      <c r="S36" s="8">
        <v>12.77681178050975</v>
      </c>
      <c r="T36" s="10">
        <v>0.91439970772676804</v>
      </c>
      <c r="U36" s="14">
        <v>0.30130443342188701</v>
      </c>
      <c r="V36" s="15">
        <v>588.47543952308672</v>
      </c>
      <c r="W36" s="16">
        <v>5.8401529327531874</v>
      </c>
      <c r="X36" s="15">
        <v>589.78963706244258</v>
      </c>
      <c r="Y36" s="16">
        <v>5.9830386435823888</v>
      </c>
      <c r="Z36" s="15">
        <v>589.75078177460443</v>
      </c>
      <c r="AA36" s="16">
        <v>6.8354483179478374</v>
      </c>
      <c r="AB36" s="15">
        <v>518.82423145261521</v>
      </c>
      <c r="AC36" s="16">
        <v>26.6977823024183</v>
      </c>
      <c r="AD36" s="15">
        <v>579.91819155748738</v>
      </c>
      <c r="AE36" s="16">
        <v>8.8210940863043934</v>
      </c>
      <c r="AF36" s="15">
        <v>590.05030240552719</v>
      </c>
      <c r="AG36" s="16">
        <v>9.6689316922605464</v>
      </c>
      <c r="AH36" s="15">
        <v>587.74068941333144</v>
      </c>
      <c r="AI36" s="16">
        <v>49.965208713039722</v>
      </c>
      <c r="AJ36" s="45">
        <v>-14.048051236205101</v>
      </c>
      <c r="AK36" s="17">
        <f t="shared" si="0"/>
        <v>-13.42481785699573</v>
      </c>
      <c r="AL36" s="7">
        <v>2.9623023566939688E-2</v>
      </c>
      <c r="AM36" s="8">
        <v>1.6626971647929738</v>
      </c>
      <c r="AN36" s="18">
        <v>10.459558085133006</v>
      </c>
      <c r="AO36" s="8">
        <v>1.0381368596769571</v>
      </c>
      <c r="AP36" s="7">
        <v>5.7931485894714377E-2</v>
      </c>
      <c r="AQ36" s="8">
        <v>1.1646976089967453</v>
      </c>
      <c r="AR36" s="18">
        <v>10.462038208204701</v>
      </c>
      <c r="AS36" s="8">
        <v>1.0384076195838365</v>
      </c>
      <c r="AT36" s="7">
        <v>5.7737402378305699E-2</v>
      </c>
      <c r="AU36" s="8">
        <v>1.2162871582870252</v>
      </c>
      <c r="AV36" s="37">
        <v>0.76092563241430555</v>
      </c>
      <c r="AW36" s="8">
        <v>1.5992638418421448</v>
      </c>
      <c r="AX36" s="40">
        <v>9.5583669271611396E-2</v>
      </c>
      <c r="AY36" s="8">
        <v>1.0384076195838365</v>
      </c>
      <c r="AZ36" s="8">
        <v>0.64930350603545539</v>
      </c>
      <c r="BA36" s="18">
        <v>10.438365613690607</v>
      </c>
      <c r="BB36" s="8">
        <v>1.2128658628721216</v>
      </c>
      <c r="BC36" s="9">
        <v>5.9589915440359062E-2</v>
      </c>
      <c r="BD36" s="8">
        <v>2.3030286985991841</v>
      </c>
      <c r="BE36" s="10">
        <v>0.78712107287567534</v>
      </c>
      <c r="BF36" s="8">
        <v>2.601275254933693</v>
      </c>
      <c r="BG36" s="9">
        <v>9.5800438211173011E-2</v>
      </c>
      <c r="BH36" s="8">
        <v>1.2128658628721216</v>
      </c>
      <c r="BI36" s="19">
        <v>0.46493459060762055</v>
      </c>
    </row>
    <row r="37" spans="1:61" x14ac:dyDescent="0.25">
      <c r="A37" s="3" t="s">
        <v>78</v>
      </c>
      <c r="B37" s="3" t="s">
        <v>142</v>
      </c>
      <c r="C37" s="3" t="s">
        <v>142</v>
      </c>
      <c r="D37" s="3" t="s">
        <v>142</v>
      </c>
      <c r="E37" s="4" t="s">
        <v>99</v>
      </c>
      <c r="F37" s="5">
        <v>-2.1568165774299571E-12</v>
      </c>
      <c r="G37" s="20">
        <v>9999</v>
      </c>
      <c r="H37" s="7">
        <v>5.4940023308647015E-2</v>
      </c>
      <c r="I37" s="8">
        <v>3.5108105378229801</v>
      </c>
      <c r="J37" s="9">
        <v>0.12508956311132524</v>
      </c>
      <c r="K37" s="8">
        <v>4.5460856773045277</v>
      </c>
      <c r="L37" s="10">
        <v>0.23872517064687021</v>
      </c>
      <c r="M37" s="8">
        <v>2.6173362148196988</v>
      </c>
      <c r="N37" s="11">
        <v>-3.106841555057671E-4</v>
      </c>
      <c r="O37" s="12">
        <v>-0.55243921606027635</v>
      </c>
      <c r="P37" s="13">
        <v>68.560353943933706</v>
      </c>
      <c r="Q37" s="13">
        <v>28.041503113973612</v>
      </c>
      <c r="R37" s="13">
        <v>5.5710528437453632</v>
      </c>
      <c r="S37" s="8">
        <v>0.76504143502772881</v>
      </c>
      <c r="T37" s="10">
        <v>0.42250179659840797</v>
      </c>
      <c r="U37" s="14">
        <v>0.92798266304110699</v>
      </c>
      <c r="V37" s="15">
        <v>579.59770573242645</v>
      </c>
      <c r="W37" s="16">
        <v>16.392665325910425</v>
      </c>
      <c r="X37" s="15">
        <v>582.65917968128633</v>
      </c>
      <c r="Y37" s="16">
        <v>16.841936990380571</v>
      </c>
      <c r="Z37" s="15">
        <v>581.14986875159821</v>
      </c>
      <c r="AA37" s="16">
        <v>17.540602432649372</v>
      </c>
      <c r="AB37" s="15">
        <v>408.77701331274113</v>
      </c>
      <c r="AC37" s="16">
        <v>78.542619047389124</v>
      </c>
      <c r="AD37" s="15">
        <v>555.27231247388193</v>
      </c>
      <c r="AE37" s="16">
        <v>30.136177393383946</v>
      </c>
      <c r="AF37" s="15">
        <v>606.28723092418136</v>
      </c>
      <c r="AG37" s="16">
        <v>40.051983532274271</v>
      </c>
      <c r="AH37" s="15">
        <v>499.52467863840718</v>
      </c>
      <c r="AI37" s="16">
        <v>87.628695202959008</v>
      </c>
      <c r="AJ37" s="45">
        <v>-43.703647676597797</v>
      </c>
      <c r="AK37" s="17">
        <f t="shared" si="0"/>
        <v>-41.788233402692924</v>
      </c>
      <c r="AL37" s="7">
        <v>3.0450474743462186E-2</v>
      </c>
      <c r="AM37" s="8">
        <v>6.705680969201036</v>
      </c>
      <c r="AN37" s="18">
        <v>10.629713202673775</v>
      </c>
      <c r="AO37" s="8">
        <v>2.9573339685510791</v>
      </c>
      <c r="AP37" s="7">
        <v>5.4940023308647015E-2</v>
      </c>
      <c r="AQ37" s="8">
        <v>3.5108105378229801</v>
      </c>
      <c r="AR37" s="18">
        <v>10.629713202266114</v>
      </c>
      <c r="AS37" s="8">
        <v>2.957333968551104</v>
      </c>
      <c r="AT37" s="7">
        <v>5.4940023340132871E-2</v>
      </c>
      <c r="AU37" s="8">
        <v>3.5108105356809847</v>
      </c>
      <c r="AV37" s="37">
        <v>0.7126373284015417</v>
      </c>
      <c r="AW37" s="8">
        <v>4.5903828619184726</v>
      </c>
      <c r="AX37" s="40">
        <v>9.4075915405395255E-2</v>
      </c>
      <c r="AY37" s="8">
        <v>2.957333968551104</v>
      </c>
      <c r="AZ37" s="8">
        <v>0.64424560162180822</v>
      </c>
      <c r="BA37" s="18">
        <v>10.600027494441397</v>
      </c>
      <c r="BB37" s="8">
        <v>3.1563511859419715</v>
      </c>
      <c r="BC37" s="9">
        <v>5.7232805679498656E-2</v>
      </c>
      <c r="BD37" s="8">
        <v>3.9789936577641529</v>
      </c>
      <c r="BE37" s="10">
        <v>0.74445648855414881</v>
      </c>
      <c r="BF37" s="8">
        <v>4.5829972241373769</v>
      </c>
      <c r="BG37" s="9">
        <v>9.4339377942594504E-2</v>
      </c>
      <c r="BH37" s="8">
        <v>3.1563511859419715</v>
      </c>
      <c r="BI37" s="19">
        <v>0.52310583324974858</v>
      </c>
    </row>
    <row r="38" spans="1:61" x14ac:dyDescent="0.25">
      <c r="A38" s="3" t="s">
        <v>74</v>
      </c>
      <c r="B38" s="3" t="s">
        <v>142</v>
      </c>
      <c r="C38" s="3" t="s">
        <v>146</v>
      </c>
      <c r="D38" s="3" t="s">
        <v>142</v>
      </c>
      <c r="E38" s="4" t="s">
        <v>100</v>
      </c>
      <c r="F38" s="5">
        <v>3.4706607196591885E-5</v>
      </c>
      <c r="G38" s="6">
        <v>100.00173519030098</v>
      </c>
      <c r="H38" s="7">
        <v>5.9083072821200677E-2</v>
      </c>
      <c r="I38" s="8">
        <v>1.8731290107559664</v>
      </c>
      <c r="J38" s="9">
        <v>5.9739260956461079E-2</v>
      </c>
      <c r="K38" s="8">
        <v>3.5968008695545959</v>
      </c>
      <c r="L38" s="10">
        <v>0.23223947950900445</v>
      </c>
      <c r="M38" s="8">
        <v>1.6126070614980317</v>
      </c>
      <c r="N38" s="11">
        <v>-4.5529674169647432E-6</v>
      </c>
      <c r="O38" s="12">
        <v>-8.1040793650095089E-3</v>
      </c>
      <c r="P38" s="13">
        <v>220.306846752902</v>
      </c>
      <c r="Q38" s="13">
        <v>43.029272942317206</v>
      </c>
      <c r="R38" s="13">
        <v>17.546988221622847</v>
      </c>
      <c r="S38" s="8">
        <v>1.0613657951675073</v>
      </c>
      <c r="T38" s="10">
        <v>0.201760588036868</v>
      </c>
      <c r="U38" s="14">
        <v>0.71493697278883195</v>
      </c>
      <c r="V38" s="15">
        <v>571.2314023898108</v>
      </c>
      <c r="W38" s="16">
        <v>6.2714970888037422</v>
      </c>
      <c r="X38" s="15">
        <v>571.61363036921819</v>
      </c>
      <c r="Y38" s="16">
        <v>6.4273058003236025</v>
      </c>
      <c r="Z38" s="15">
        <v>572.28356222184266</v>
      </c>
      <c r="AA38" s="16">
        <v>6.4793441172523618</v>
      </c>
      <c r="AB38" s="15">
        <v>550.48996388440423</v>
      </c>
      <c r="AC38" s="16">
        <v>45.357363678043399</v>
      </c>
      <c r="AD38" s="15">
        <v>535.59077388351795</v>
      </c>
      <c r="AE38" s="16">
        <v>23.483385647264512</v>
      </c>
      <c r="AF38" s="15">
        <v>548.92751986626558</v>
      </c>
      <c r="AG38" s="16">
        <v>33.831077576942931</v>
      </c>
      <c r="AH38" s="15">
        <v>607.90756572625719</v>
      </c>
      <c r="AI38" s="16">
        <v>41.566446827006729</v>
      </c>
      <c r="AJ38" s="45">
        <v>-3.93731004874518</v>
      </c>
      <c r="AK38" s="17">
        <f t="shared" si="0"/>
        <v>-3.767814104920177</v>
      </c>
      <c r="AL38" s="7">
        <v>2.7530333950454011E-2</v>
      </c>
      <c r="AM38" s="8">
        <v>6.2471913142824329</v>
      </c>
      <c r="AN38" s="18">
        <v>10.78583489202717</v>
      </c>
      <c r="AO38" s="8">
        <v>1.1455858571529141</v>
      </c>
      <c r="AP38" s="7">
        <v>5.9083072821200677E-2</v>
      </c>
      <c r="AQ38" s="8">
        <v>1.8731290107559664</v>
      </c>
      <c r="AR38" s="18">
        <v>10.792502091445682</v>
      </c>
      <c r="AS38" s="8">
        <v>1.1472524173430139</v>
      </c>
      <c r="AT38" s="7">
        <v>5.857865080664703E-2</v>
      </c>
      <c r="AU38" s="8">
        <v>2.077534984704398</v>
      </c>
      <c r="AV38" s="37">
        <v>0.74837366764304991</v>
      </c>
      <c r="AW38" s="8">
        <v>2.3732550899071283</v>
      </c>
      <c r="AX38" s="40">
        <v>9.2656919732507323E-2</v>
      </c>
      <c r="AY38" s="8">
        <v>1.1472524173430139</v>
      </c>
      <c r="AZ38" s="8">
        <v>0.48340880936988062</v>
      </c>
      <c r="BA38" s="18">
        <v>10.771767671294365</v>
      </c>
      <c r="BB38" s="8">
        <v>1.1831900876354047</v>
      </c>
      <c r="BC38" s="9">
        <v>6.0147360144226995E-2</v>
      </c>
      <c r="BD38" s="8">
        <v>1.9223991474126558</v>
      </c>
      <c r="BE38" s="10">
        <v>0.76989388090743083</v>
      </c>
      <c r="BF38" s="8">
        <v>2.1815476370714322</v>
      </c>
      <c r="BG38" s="9">
        <v>9.283527370023914E-2</v>
      </c>
      <c r="BH38" s="8">
        <v>1.1831900876354047</v>
      </c>
      <c r="BI38" s="19">
        <v>0.47719746532154061</v>
      </c>
    </row>
    <row r="39" spans="1:61" x14ac:dyDescent="0.25">
      <c r="A39" s="3" t="s">
        <v>78</v>
      </c>
      <c r="B39" s="3" t="s">
        <v>142</v>
      </c>
      <c r="C39" s="3" t="s">
        <v>142</v>
      </c>
      <c r="D39" s="3" t="s">
        <v>142</v>
      </c>
      <c r="E39" s="4" t="s">
        <v>101</v>
      </c>
      <c r="F39" s="5">
        <v>-7.082881126399597E-4</v>
      </c>
      <c r="G39" s="6">
        <v>57.755469359132015</v>
      </c>
      <c r="H39" s="7">
        <v>5.8299910024532046E-2</v>
      </c>
      <c r="I39" s="8">
        <v>5.1059564030126152</v>
      </c>
      <c r="J39" s="9">
        <v>6.2366272543409339E-2</v>
      </c>
      <c r="K39" s="8">
        <v>17.354286530995893</v>
      </c>
      <c r="L39" s="10">
        <v>0.24544516819571774</v>
      </c>
      <c r="M39" s="8">
        <v>1.9649596368068072</v>
      </c>
      <c r="N39" s="11">
        <v>-5.7559886397832035E-5</v>
      </c>
      <c r="O39" s="12">
        <v>-0.10246353903303004</v>
      </c>
      <c r="P39" s="13">
        <v>30.216728627695101</v>
      </c>
      <c r="Q39" s="13">
        <v>6.9106319343091336</v>
      </c>
      <c r="R39" s="13">
        <v>2.4045496985169654</v>
      </c>
      <c r="S39" s="8">
        <v>0.15650891546889761</v>
      </c>
      <c r="T39" s="10">
        <v>0.23624935962122601</v>
      </c>
      <c r="U39" s="14">
        <v>1.72248366869446</v>
      </c>
      <c r="V39" s="15">
        <v>577.44637360962236</v>
      </c>
      <c r="W39" s="16">
        <v>12.356563670750955</v>
      </c>
      <c r="X39" s="15">
        <v>571.12478745635417</v>
      </c>
      <c r="Y39" s="16">
        <v>11.966238031803847</v>
      </c>
      <c r="Z39" s="15">
        <v>573.43554615120695</v>
      </c>
      <c r="AA39" s="16">
        <v>12.318247199917039</v>
      </c>
      <c r="AB39" s="15">
        <v>881.86608043686601</v>
      </c>
      <c r="AC39" s="16">
        <v>196.43018247580724</v>
      </c>
      <c r="AD39" s="15">
        <v>692.4856261410722</v>
      </c>
      <c r="AE39" s="16">
        <v>167.71996496359267</v>
      </c>
      <c r="AF39" s="15">
        <v>504.56132244421656</v>
      </c>
      <c r="AG39" s="16">
        <v>106.56967839675467</v>
      </c>
      <c r="AH39" s="15">
        <v>692.74085800195917</v>
      </c>
      <c r="AI39" s="16">
        <v>101.61455336430187</v>
      </c>
      <c r="AJ39" s="45">
        <v>36.076396296670097</v>
      </c>
      <c r="AK39" s="17">
        <f t="shared" si="0"/>
        <v>34.519947368475457</v>
      </c>
      <c r="AL39" s="7">
        <v>2.5277360327947029E-2</v>
      </c>
      <c r="AM39" s="8">
        <v>21.385977536830243</v>
      </c>
      <c r="AN39" s="18">
        <v>10.805667904258001</v>
      </c>
      <c r="AO39" s="8">
        <v>2.1183991658829351</v>
      </c>
      <c r="AP39" s="7">
        <v>5.8299910024532046E-2</v>
      </c>
      <c r="AQ39" s="8">
        <v>5.1059564030126152</v>
      </c>
      <c r="AR39" s="18">
        <v>10.671122311998955</v>
      </c>
      <c r="AS39" s="8">
        <v>2.2371346594131931</v>
      </c>
      <c r="AT39" s="7">
        <v>6.8469403269109094E-2</v>
      </c>
      <c r="AU39" s="8">
        <v>9.4972682216149931</v>
      </c>
      <c r="AV39" s="37">
        <v>0.88468307706767535</v>
      </c>
      <c r="AW39" s="8">
        <v>9.7571960704725917</v>
      </c>
      <c r="AX39" s="40">
        <v>9.3710855406049245E-2</v>
      </c>
      <c r="AY39" s="8">
        <v>2.2371346594131931</v>
      </c>
      <c r="AZ39" s="8">
        <v>0.22928048624371214</v>
      </c>
      <c r="BA39" s="18">
        <v>10.749153381024236</v>
      </c>
      <c r="BB39" s="8">
        <v>2.2451082361232779</v>
      </c>
      <c r="BC39" s="9">
        <v>6.257150341229413E-2</v>
      </c>
      <c r="BD39" s="8">
        <v>4.7660932087732215</v>
      </c>
      <c r="BE39" s="10">
        <v>0.80260822268265508</v>
      </c>
      <c r="BF39" s="8">
        <v>5.2599348615149051</v>
      </c>
      <c r="BG39" s="9">
        <v>9.3030582461063993E-2</v>
      </c>
      <c r="BH39" s="8">
        <v>2.2451082361232779</v>
      </c>
      <c r="BI39" s="19">
        <v>0.42305348151940431</v>
      </c>
    </row>
    <row r="40" spans="1:61" x14ac:dyDescent="0.25">
      <c r="A40" s="3" t="s">
        <v>78</v>
      </c>
      <c r="B40" s="3" t="s">
        <v>142</v>
      </c>
      <c r="C40" s="3" t="s">
        <v>142</v>
      </c>
      <c r="D40" s="3" t="s">
        <v>142</v>
      </c>
      <c r="E40" s="4" t="s">
        <v>102</v>
      </c>
      <c r="F40" s="5">
        <v>4.2659993435266924E-4</v>
      </c>
      <c r="G40" s="6">
        <v>70.725758918947605</v>
      </c>
      <c r="H40" s="7">
        <v>6.4100164730554673E-2</v>
      </c>
      <c r="I40" s="8">
        <v>4.6722624572503957</v>
      </c>
      <c r="J40" s="9">
        <v>0.14128898041464821</v>
      </c>
      <c r="K40" s="8">
        <v>6.049992454539205</v>
      </c>
      <c r="L40" s="10">
        <v>0.22129686661328732</v>
      </c>
      <c r="M40" s="8">
        <v>1.851629330589474</v>
      </c>
      <c r="N40" s="11">
        <v>3.6416084781310741E-4</v>
      </c>
      <c r="O40" s="12">
        <v>0.64897096504269247</v>
      </c>
      <c r="P40" s="13">
        <v>37.009912759698203</v>
      </c>
      <c r="Q40" s="13">
        <v>13.692600113658667</v>
      </c>
      <c r="R40" s="13">
        <v>2.8801095450666536</v>
      </c>
      <c r="S40" s="8">
        <v>0.37349058306161703</v>
      </c>
      <c r="T40" s="10">
        <v>0.382180201538112</v>
      </c>
      <c r="U40" s="14">
        <v>1.32384825193492</v>
      </c>
      <c r="V40" s="15">
        <v>558.44735024910517</v>
      </c>
      <c r="W40" s="16">
        <v>11.019999874658778</v>
      </c>
      <c r="X40" s="15">
        <v>559.0471267000438</v>
      </c>
      <c r="Y40" s="16">
        <v>11.020792245115338</v>
      </c>
      <c r="Z40" s="15">
        <v>556.32919943717388</v>
      </c>
      <c r="AA40" s="16">
        <v>11.603617430783764</v>
      </c>
      <c r="AB40" s="15">
        <v>524.79197703947841</v>
      </c>
      <c r="AC40" s="16">
        <v>202.78814248786085</v>
      </c>
      <c r="AD40" s="15">
        <v>595.17515194470536</v>
      </c>
      <c r="AE40" s="16">
        <v>65.39204332107775</v>
      </c>
      <c r="AF40" s="15">
        <v>606.16355373327303</v>
      </c>
      <c r="AG40" s="16">
        <v>53.821661749804861</v>
      </c>
      <c r="AH40" s="15">
        <v>396.93758880577127</v>
      </c>
      <c r="AI40" s="16">
        <v>126.74319863245198</v>
      </c>
      <c r="AJ40" s="45">
        <v>-6.6951309880354897</v>
      </c>
      <c r="AK40" s="17">
        <f t="shared" si="0"/>
        <v>-6.413088363028649</v>
      </c>
      <c r="AL40" s="7">
        <v>3.0444169509439067E-2</v>
      </c>
      <c r="AM40" s="8">
        <v>9.0128727673414346</v>
      </c>
      <c r="AN40" s="18">
        <v>10.966665282781612</v>
      </c>
      <c r="AO40" s="8">
        <v>1.9875094930953219</v>
      </c>
      <c r="AP40" s="7">
        <v>6.4100164730554673E-2</v>
      </c>
      <c r="AQ40" s="8">
        <v>4.6722624572503957</v>
      </c>
      <c r="AR40" s="18">
        <v>11.050677355340607</v>
      </c>
      <c r="AS40" s="8">
        <v>2.0600361564406242</v>
      </c>
      <c r="AT40" s="7">
        <v>5.789467040676529E-2</v>
      </c>
      <c r="AU40" s="8">
        <v>9.2479543573367682</v>
      </c>
      <c r="AV40" s="37">
        <v>0.72235546283748664</v>
      </c>
      <c r="AW40" s="8">
        <v>9.4746191881904558</v>
      </c>
      <c r="AX40" s="40">
        <v>9.0492190464389652E-2</v>
      </c>
      <c r="AY40" s="8">
        <v>2.0600361564406242</v>
      </c>
      <c r="AZ40" s="8">
        <v>0.21742680265274783</v>
      </c>
      <c r="BA40" s="18">
        <v>11.094600198111713</v>
      </c>
      <c r="BB40" s="8">
        <v>2.177041525917097</v>
      </c>
      <c r="BC40" s="9">
        <v>5.4650339643357596E-2</v>
      </c>
      <c r="BD40" s="8">
        <v>5.653616140662062</v>
      </c>
      <c r="BE40" s="10">
        <v>0.67917623848298969</v>
      </c>
      <c r="BF40" s="8">
        <v>6.0892636902759172</v>
      </c>
      <c r="BG40" s="9">
        <v>9.0133937423918953E-2</v>
      </c>
      <c r="BH40" s="8">
        <v>2.177041525917097</v>
      </c>
      <c r="BI40" s="19">
        <v>0.37171226258132728</v>
      </c>
    </row>
    <row r="41" spans="1:61" x14ac:dyDescent="0.25">
      <c r="A41" s="3" t="s">
        <v>78</v>
      </c>
      <c r="B41" s="3" t="s">
        <v>142</v>
      </c>
      <c r="C41" s="3" t="s">
        <v>142</v>
      </c>
      <c r="D41" s="3" t="s">
        <v>142</v>
      </c>
      <c r="E41" s="4" t="s">
        <v>103</v>
      </c>
      <c r="F41" s="5">
        <v>-5.7757349079097822E-12</v>
      </c>
      <c r="G41" s="20">
        <v>9999</v>
      </c>
      <c r="H41" s="7">
        <v>5.776922436408332E-2</v>
      </c>
      <c r="I41" s="8">
        <v>4.972381349944845</v>
      </c>
      <c r="J41" s="9">
        <v>0.12352308049287954</v>
      </c>
      <c r="K41" s="8">
        <v>6.7077128615468569</v>
      </c>
      <c r="L41" s="10">
        <v>0.21768898348234272</v>
      </c>
      <c r="M41" s="8">
        <v>1.9361594859840268</v>
      </c>
      <c r="N41" s="11">
        <v>-1.0702735414373863E-4</v>
      </c>
      <c r="O41" s="12">
        <v>-0.1903978491469232</v>
      </c>
      <c r="P41" s="13">
        <v>34.593360654336998</v>
      </c>
      <c r="Q41" s="13">
        <v>14.135944716262919</v>
      </c>
      <c r="R41" s="13">
        <v>2.7874975271803932</v>
      </c>
      <c r="S41" s="8">
        <v>0.35829477127568993</v>
      </c>
      <c r="T41" s="10">
        <v>0.422116574270123</v>
      </c>
      <c r="U41" s="14">
        <v>1.3172766548958299</v>
      </c>
      <c r="V41" s="15">
        <v>576.95383699123749</v>
      </c>
      <c r="W41" s="16">
        <v>11.327507147692094</v>
      </c>
      <c r="X41" s="15">
        <v>578.00453511697799</v>
      </c>
      <c r="Y41" s="16">
        <v>11.72906010034268</v>
      </c>
      <c r="Z41" s="15">
        <v>578.90707764953129</v>
      </c>
      <c r="AA41" s="16">
        <v>12.293491189605941</v>
      </c>
      <c r="AB41" s="15">
        <v>520.03356406749106</v>
      </c>
      <c r="AC41" s="16">
        <v>109.12238264165677</v>
      </c>
      <c r="AD41" s="15">
        <v>546.32340781666869</v>
      </c>
      <c r="AE41" s="16">
        <v>38.470607556166009</v>
      </c>
      <c r="AF41" s="15">
        <v>563.85629846492145</v>
      </c>
      <c r="AG41" s="16">
        <v>51.738742690721672</v>
      </c>
      <c r="AH41" s="15">
        <v>626.00830703215161</v>
      </c>
      <c r="AI41" s="16">
        <v>106.35562293939148</v>
      </c>
      <c r="AJ41" s="45">
        <v>-11.4433696232689</v>
      </c>
      <c r="AK41" s="17">
        <f t="shared" si="0"/>
        <v>-10.945499840152465</v>
      </c>
      <c r="AL41" s="7">
        <v>2.8289549556960836E-2</v>
      </c>
      <c r="AM41" s="8">
        <v>9.3044576446363791</v>
      </c>
      <c r="AN41" s="18">
        <v>10.680646192271558</v>
      </c>
      <c r="AO41" s="8">
        <v>2.0524992574529013</v>
      </c>
      <c r="AP41" s="7">
        <v>5.776922436408332E-2</v>
      </c>
      <c r="AQ41" s="8">
        <v>4.972381349944845</v>
      </c>
      <c r="AR41" s="18">
        <v>10.680646191174141</v>
      </c>
      <c r="AS41" s="8">
        <v>2.0524992574531584</v>
      </c>
      <c r="AT41" s="7">
        <v>5.7769224448109488E-2</v>
      </c>
      <c r="AU41" s="8">
        <v>4.9723813422228105</v>
      </c>
      <c r="AV41" s="37">
        <v>0.74576205637139514</v>
      </c>
      <c r="AW41" s="8">
        <v>5.3793428422374499</v>
      </c>
      <c r="AX41" s="40">
        <v>9.3627293901593828E-2</v>
      </c>
      <c r="AY41" s="8">
        <v>2.0524992574531584</v>
      </c>
      <c r="AZ41" s="8">
        <v>0.38155204411538396</v>
      </c>
      <c r="BA41" s="18">
        <v>10.642972933688377</v>
      </c>
      <c r="BB41" s="8">
        <v>2.2203473301221006</v>
      </c>
      <c r="BC41" s="9">
        <v>6.0653758698416244E-2</v>
      </c>
      <c r="BD41" s="8">
        <v>4.9337133902504151</v>
      </c>
      <c r="BE41" s="10">
        <v>0.78577107180891914</v>
      </c>
      <c r="BF41" s="8">
        <v>5.3812395931367396</v>
      </c>
      <c r="BG41" s="9">
        <v>9.3958709303364252E-2</v>
      </c>
      <c r="BH41" s="8">
        <v>2.2203473301221006</v>
      </c>
      <c r="BI41" s="19">
        <v>0.39948014174050162</v>
      </c>
    </row>
    <row r="42" spans="1:61" x14ac:dyDescent="0.25">
      <c r="A42" s="3" t="s">
        <v>143</v>
      </c>
      <c r="B42" s="3" t="s">
        <v>142</v>
      </c>
      <c r="C42" s="3" t="s">
        <v>146</v>
      </c>
      <c r="D42" s="3" t="s">
        <v>142</v>
      </c>
      <c r="E42" s="4" t="s">
        <v>104</v>
      </c>
      <c r="F42" s="5">
        <v>-7.5285008755502205E-5</v>
      </c>
      <c r="G42" s="6">
        <v>50.00188177728451</v>
      </c>
      <c r="H42" s="7">
        <v>5.8160568887142668E-2</v>
      </c>
      <c r="I42" s="8">
        <v>1.3854989139112444</v>
      </c>
      <c r="J42" s="9">
        <v>0.24207410245436825</v>
      </c>
      <c r="K42" s="8">
        <v>1.3754132837624866</v>
      </c>
      <c r="L42" s="10">
        <v>0.22924047774645409</v>
      </c>
      <c r="M42" s="8">
        <v>2.7491525024387449</v>
      </c>
      <c r="N42" s="11">
        <v>-7.3944127781751172E-5</v>
      </c>
      <c r="O42" s="12">
        <v>-0.13158062092870382</v>
      </c>
      <c r="P42" s="13">
        <v>400.203100326531</v>
      </c>
      <c r="Q42" s="13">
        <v>298.49514050031632</v>
      </c>
      <c r="R42" s="13">
        <v>32.057815727537267</v>
      </c>
      <c r="S42" s="8">
        <v>7.915203872441297</v>
      </c>
      <c r="T42" s="10">
        <v>0.77047249230514103</v>
      </c>
      <c r="U42" s="14">
        <v>0.34793249069931698</v>
      </c>
      <c r="V42" s="15">
        <v>574.75711619680078</v>
      </c>
      <c r="W42" s="16">
        <v>5.9629166286264859</v>
      </c>
      <c r="X42" s="15">
        <v>574.7440133696648</v>
      </c>
      <c r="Y42" s="16">
        <v>6.0878257416719004</v>
      </c>
      <c r="Z42" s="15">
        <v>572.92487661339067</v>
      </c>
      <c r="AA42" s="16">
        <v>6.7951653836490689</v>
      </c>
      <c r="AB42" s="15">
        <v>575.45766590782659</v>
      </c>
      <c r="AC42" s="16">
        <v>35.678918976737251</v>
      </c>
      <c r="AD42" s="15">
        <v>589.64229436410812</v>
      </c>
      <c r="AE42" s="16">
        <v>10.89923229001214</v>
      </c>
      <c r="AF42" s="15">
        <v>589.52277592393682</v>
      </c>
      <c r="AG42" s="16">
        <v>11.570226648300681</v>
      </c>
      <c r="AH42" s="15">
        <v>472.08962869910539</v>
      </c>
      <c r="AI42" s="16">
        <v>49.543904943110576</v>
      </c>
      <c r="AJ42" s="45">
        <v>0.12724539159312301</v>
      </c>
      <c r="AK42" s="17">
        <f t="shared" si="0"/>
        <v>0.12173783625257784</v>
      </c>
      <c r="AL42" s="7">
        <v>2.9596151402605964E-2</v>
      </c>
      <c r="AM42" s="8">
        <v>1.9914038364148443</v>
      </c>
      <c r="AN42" s="18">
        <v>10.737687392034349</v>
      </c>
      <c r="AO42" s="8">
        <v>1.0823388991506964</v>
      </c>
      <c r="AP42" s="7">
        <v>5.8160568887142668E-2</v>
      </c>
      <c r="AQ42" s="8">
        <v>1.3854989139112444</v>
      </c>
      <c r="AR42" s="18">
        <v>10.723321715549851</v>
      </c>
      <c r="AS42" s="8">
        <v>1.0844042598810528</v>
      </c>
      <c r="AT42" s="7">
        <v>5.9253842594666602E-2</v>
      </c>
      <c r="AU42" s="8">
        <v>1.6411387819560599</v>
      </c>
      <c r="AV42" s="37">
        <v>0.76188330758606804</v>
      </c>
      <c r="AW42" s="8">
        <v>1.9670457799676127</v>
      </c>
      <c r="AX42" s="40">
        <v>9.3254686050303195E-2</v>
      </c>
      <c r="AY42" s="8">
        <v>1.0844042598810528</v>
      </c>
      <c r="AZ42" s="8">
        <v>0.55128572548977861</v>
      </c>
      <c r="BA42" s="18">
        <v>10.759166970108149</v>
      </c>
      <c r="BB42" s="8">
        <v>1.2395338257595379</v>
      </c>
      <c r="BC42" s="9">
        <v>5.6525904624576698E-2</v>
      </c>
      <c r="BD42" s="8">
        <v>2.2390720398284594</v>
      </c>
      <c r="BE42" s="10">
        <v>0.72438616774791931</v>
      </c>
      <c r="BF42" s="8">
        <v>2.4917402195069953</v>
      </c>
      <c r="BG42" s="9">
        <v>9.2943998617947665E-2</v>
      </c>
      <c r="BH42" s="8">
        <v>1.2395338257595379</v>
      </c>
      <c r="BI42" s="19">
        <v>0.4422348493056068</v>
      </c>
    </row>
    <row r="43" spans="1:61" x14ac:dyDescent="0.25">
      <c r="A43" s="3" t="s">
        <v>143</v>
      </c>
      <c r="B43" s="3" t="s">
        <v>142</v>
      </c>
      <c r="C43" s="3" t="s">
        <v>146</v>
      </c>
      <c r="D43" s="3" t="s">
        <v>142</v>
      </c>
      <c r="E43" s="4" t="s">
        <v>105</v>
      </c>
      <c r="F43" s="5">
        <v>1.0677873954733112E-4</v>
      </c>
      <c r="G43" s="6">
        <v>44.723746941387624</v>
      </c>
      <c r="H43" s="7">
        <v>6.1697452559238766E-2</v>
      </c>
      <c r="I43" s="8">
        <v>3.9122759556532607</v>
      </c>
      <c r="J43" s="9">
        <v>0.24371207694860017</v>
      </c>
      <c r="K43" s="8">
        <v>5.6497351057879781</v>
      </c>
      <c r="L43" s="10">
        <v>0.2323517103818952</v>
      </c>
      <c r="M43" s="8">
        <v>5.9095021983692622</v>
      </c>
      <c r="N43" s="11">
        <v>2.3741229168130945E-4</v>
      </c>
      <c r="O43" s="12">
        <v>0.42391258424523887</v>
      </c>
      <c r="P43" s="13">
        <v>342.27537230526099</v>
      </c>
      <c r="Q43" s="13">
        <v>238.67647008149672</v>
      </c>
      <c r="R43" s="13">
        <v>25.591557311446124</v>
      </c>
      <c r="S43" s="8">
        <v>6.0924839934814088</v>
      </c>
      <c r="T43" s="10">
        <v>0.72033460056920495</v>
      </c>
      <c r="U43" s="14">
        <v>0.37001249082030202</v>
      </c>
      <c r="V43" s="15">
        <v>539.22718452047388</v>
      </c>
      <c r="W43" s="16">
        <v>26.72901062672836</v>
      </c>
      <c r="X43" s="15">
        <v>538.01816888136796</v>
      </c>
      <c r="Y43" s="16">
        <v>27.170618578049314</v>
      </c>
      <c r="Z43" s="15">
        <v>534.59564863949242</v>
      </c>
      <c r="AA43" s="16">
        <v>30.309531673189671</v>
      </c>
      <c r="AB43" s="15">
        <v>607.94669987354132</v>
      </c>
      <c r="AC43" s="16">
        <v>90.445336141515796</v>
      </c>
      <c r="AD43" s="15">
        <v>579.52009217483817</v>
      </c>
      <c r="AE43" s="16">
        <v>43.996970258637987</v>
      </c>
      <c r="AF43" s="15">
        <v>567.7995356720005</v>
      </c>
      <c r="AG43" s="16">
        <v>45.704276099395358</v>
      </c>
      <c r="AH43" s="15"/>
      <c r="AI43" s="16">
        <v>188.9289010701284</v>
      </c>
      <c r="AJ43" s="45">
        <f>100-(100*V43/AB43)</f>
        <v>11.303542788761206</v>
      </c>
      <c r="AK43" s="17">
        <f t="shared" si="0"/>
        <v>11.303542788761206</v>
      </c>
      <c r="AL43" s="7">
        <v>2.8490179842999508E-2</v>
      </c>
      <c r="AM43" s="8">
        <v>8.1629586423033835</v>
      </c>
      <c r="AN43" s="18">
        <v>11.440029873614346</v>
      </c>
      <c r="AO43" s="8">
        <v>5.1664113078757428</v>
      </c>
      <c r="AP43" s="7">
        <v>6.1697452559238766E-2</v>
      </c>
      <c r="AQ43" s="8">
        <v>3.9122759556532607</v>
      </c>
      <c r="AR43" s="18">
        <v>11.46188301474816</v>
      </c>
      <c r="AS43" s="8">
        <v>5.1671176272629928</v>
      </c>
      <c r="AT43" s="7">
        <v>6.014844876962358E-2</v>
      </c>
      <c r="AU43" s="8">
        <v>4.1830175303465156</v>
      </c>
      <c r="AV43" s="37">
        <v>0.7235519770778186</v>
      </c>
      <c r="AW43" s="8">
        <v>6.6480628932914136</v>
      </c>
      <c r="AX43" s="40">
        <v>8.7245699394531112E-2</v>
      </c>
      <c r="AY43" s="8">
        <v>5.1671176272629928</v>
      </c>
      <c r="AZ43" s="8">
        <v>0.77723657405184166</v>
      </c>
      <c r="BA43" s="18">
        <v>11.565396040342893</v>
      </c>
      <c r="BB43" s="8">
        <v>5.9079553145655339</v>
      </c>
      <c r="BC43" s="9">
        <v>5.2811193775526594E-2</v>
      </c>
      <c r="BD43" s="8">
        <v>8.3131955458571749</v>
      </c>
      <c r="BE43" s="10">
        <v>0.62960294419400786</v>
      </c>
      <c r="BF43" s="8">
        <v>9.2529320730092444</v>
      </c>
      <c r="BG43" s="9">
        <v>8.6464829782893604E-2</v>
      </c>
      <c r="BH43" s="8">
        <v>5.9079553145655339</v>
      </c>
      <c r="BI43" s="19">
        <v>0.47023335475661782</v>
      </c>
    </row>
    <row r="44" spans="1:61" x14ac:dyDescent="0.25">
      <c r="A44" s="3" t="s">
        <v>74</v>
      </c>
      <c r="B44" s="3" t="s">
        <v>142</v>
      </c>
      <c r="C44" s="3" t="s">
        <v>146</v>
      </c>
      <c r="D44" s="3" t="s">
        <v>142</v>
      </c>
      <c r="E44" s="21" t="s">
        <v>106</v>
      </c>
      <c r="F44" s="22">
        <v>4.8893166047316123E-5</v>
      </c>
      <c r="G44" s="23">
        <v>57.73643810932807</v>
      </c>
      <c r="H44" s="24">
        <v>5.9350597524142346E-2</v>
      </c>
      <c r="I44" s="25">
        <v>1.2778828666370778</v>
      </c>
      <c r="J44" s="26">
        <v>0.25122916947703355</v>
      </c>
      <c r="K44" s="25">
        <v>1.2657858251147036</v>
      </c>
      <c r="L44" s="27">
        <v>0.24122742878231038</v>
      </c>
      <c r="M44" s="25">
        <v>2.5200559156084483</v>
      </c>
      <c r="N44" s="28">
        <v>-3.321386573129499E-6</v>
      </c>
      <c r="O44" s="29">
        <v>-5.9069812484934675E-3</v>
      </c>
      <c r="P44" s="30">
        <v>454.40229381341601</v>
      </c>
      <c r="Q44" s="30">
        <v>358.52122220143031</v>
      </c>
      <c r="R44" s="30">
        <v>36.798339707520583</v>
      </c>
      <c r="S44" s="25">
        <v>9.3386544475617352</v>
      </c>
      <c r="T44" s="27">
        <v>0.81503202685448894</v>
      </c>
      <c r="U44" s="31">
        <v>0.32979776821240397</v>
      </c>
      <c r="V44" s="32">
        <v>580.25235282492906</v>
      </c>
      <c r="W44" s="33">
        <v>7.7449325763078436</v>
      </c>
      <c r="X44" s="32">
        <v>580.76807510301774</v>
      </c>
      <c r="Y44" s="33">
        <v>7.910815703826918</v>
      </c>
      <c r="Z44" s="32">
        <v>580.96855994813222</v>
      </c>
      <c r="AA44" s="33">
        <v>8.8757895599692169</v>
      </c>
      <c r="AB44" s="32">
        <v>552.77683997032466</v>
      </c>
      <c r="AC44" s="33">
        <v>32.118841209481346</v>
      </c>
      <c r="AD44" s="32">
        <v>574.78199802143843</v>
      </c>
      <c r="AE44" s="33">
        <v>11.100659876574591</v>
      </c>
      <c r="AF44" s="32">
        <v>579.23690327590145</v>
      </c>
      <c r="AG44" s="33">
        <v>11.891106594955842</v>
      </c>
      <c r="AH44" s="32">
        <v>591.5047708754563</v>
      </c>
      <c r="AI44" s="33">
        <v>47.94392922180932</v>
      </c>
      <c r="AJ44" s="46">
        <v>-5.1976739142482797</v>
      </c>
      <c r="AK44" s="17">
        <f t="shared" si="0"/>
        <v>-4.9704529690642261</v>
      </c>
      <c r="AL44" s="24">
        <v>2.9072329858819579E-2</v>
      </c>
      <c r="AM44" s="25">
        <v>2.0824478696761002</v>
      </c>
      <c r="AN44" s="34">
        <v>10.607941290313597</v>
      </c>
      <c r="AO44" s="25">
        <v>1.3948203613691539</v>
      </c>
      <c r="AP44" s="24">
        <v>5.9350597524142346E-2</v>
      </c>
      <c r="AQ44" s="25">
        <v>1.2778828666370778</v>
      </c>
      <c r="AR44" s="34">
        <v>10.617173448548765</v>
      </c>
      <c r="AS44" s="25">
        <v>1.3957251666509782</v>
      </c>
      <c r="AT44" s="24">
        <v>5.8640054462961888E-2</v>
      </c>
      <c r="AU44" s="25">
        <v>1.47173200903792</v>
      </c>
      <c r="AV44" s="38">
        <v>0.76152949262200686</v>
      </c>
      <c r="AW44" s="25">
        <v>2.0283105894437599</v>
      </c>
      <c r="AX44" s="41">
        <v>9.4187026786935218E-2</v>
      </c>
      <c r="AY44" s="25">
        <v>1.3957251666509782</v>
      </c>
      <c r="AZ44" s="25">
        <v>0.68812201342090284</v>
      </c>
      <c r="BA44" s="34">
        <v>10.603486906556341</v>
      </c>
      <c r="BB44" s="25">
        <v>1.5976340494883161</v>
      </c>
      <c r="BC44" s="26">
        <v>5.9693424346422948E-2</v>
      </c>
      <c r="BD44" s="25">
        <v>2.211260787780525</v>
      </c>
      <c r="BE44" s="27">
        <v>0.77620969605721868</v>
      </c>
      <c r="BF44" s="25">
        <v>2.5523241724992771</v>
      </c>
      <c r="BG44" s="26">
        <v>9.4308599502459955E-2</v>
      </c>
      <c r="BH44" s="25">
        <v>1.5976340494883161</v>
      </c>
      <c r="BI44" s="35">
        <v>0.51219308070213732</v>
      </c>
    </row>
    <row r="45" spans="1:61" x14ac:dyDescent="0.25">
      <c r="A45" s="3" t="s">
        <v>74</v>
      </c>
      <c r="B45" s="3" t="s">
        <v>142</v>
      </c>
      <c r="C45" s="3" t="s">
        <v>146</v>
      </c>
      <c r="D45" s="3" t="s">
        <v>142</v>
      </c>
      <c r="E45" s="4" t="s">
        <v>107</v>
      </c>
      <c r="F45" s="5">
        <v>1.5780909904933454E-5</v>
      </c>
      <c r="G45" s="6">
        <v>100.00078916738333</v>
      </c>
      <c r="H45" s="7">
        <v>5.8579403518202795E-2</v>
      </c>
      <c r="I45" s="8">
        <v>1.2724859373619808</v>
      </c>
      <c r="J45" s="9">
        <v>0.28262491033873349</v>
      </c>
      <c r="K45" s="8">
        <v>1.1701596382503534</v>
      </c>
      <c r="L45" s="10">
        <v>0.22954939551941531</v>
      </c>
      <c r="M45" s="8">
        <v>1.9089858503433612</v>
      </c>
      <c r="N45" s="11">
        <v>-6.0768554783462041E-5</v>
      </c>
      <c r="O45" s="12">
        <v>-0.10805485947952875</v>
      </c>
      <c r="P45" s="13">
        <v>488.00410365863303</v>
      </c>
      <c r="Q45" s="13">
        <v>437.96666869804818</v>
      </c>
      <c r="R45" s="13">
        <v>39.68283752982682</v>
      </c>
      <c r="S45" s="8">
        <v>11.403349751390188</v>
      </c>
      <c r="T45" s="10">
        <v>0.92708148430153103</v>
      </c>
      <c r="U45" s="14">
        <v>0.317534250514588</v>
      </c>
      <c r="V45" s="15">
        <v>582.30537964225618</v>
      </c>
      <c r="W45" s="16">
        <v>5.6559801058011416</v>
      </c>
      <c r="X45" s="15">
        <v>583.06341141351879</v>
      </c>
      <c r="Y45" s="16">
        <v>5.7919392416754647</v>
      </c>
      <c r="Z45" s="15">
        <v>583.67897062439306</v>
      </c>
      <c r="AA45" s="16">
        <v>6.6513758341968616</v>
      </c>
      <c r="AB45" s="15">
        <v>541.94474068608463</v>
      </c>
      <c r="AC45" s="16">
        <v>29.232150973543963</v>
      </c>
      <c r="AD45" s="15">
        <v>573.2435443042923</v>
      </c>
      <c r="AE45" s="16">
        <v>9.0172005130011996</v>
      </c>
      <c r="AF45" s="15">
        <v>579.00284400296744</v>
      </c>
      <c r="AG45" s="16">
        <v>9.8805479897874715</v>
      </c>
      <c r="AH45" s="10">
        <v>615.61290136493949</v>
      </c>
      <c r="AI45" s="16">
        <v>54.369878157303461</v>
      </c>
      <c r="AJ45" s="45">
        <v>-7.7891629184405797</v>
      </c>
      <c r="AK45" s="17">
        <f t="shared" si="0"/>
        <v>-7.447371646245017</v>
      </c>
      <c r="AL45" s="7">
        <v>2.9060413185310274E-2</v>
      </c>
      <c r="AM45" s="8">
        <v>1.731035289199975</v>
      </c>
      <c r="AN45" s="18">
        <v>10.575062477900547</v>
      </c>
      <c r="AO45" s="8">
        <v>1.0154499334591367</v>
      </c>
      <c r="AP45" s="7">
        <v>5.8579403518202795E-2</v>
      </c>
      <c r="AQ45" s="8">
        <v>1.2724859373619808</v>
      </c>
      <c r="AR45" s="18">
        <v>10.578030740091092</v>
      </c>
      <c r="AS45" s="8">
        <v>1.0158377926139228</v>
      </c>
      <c r="AT45" s="7">
        <v>5.8349985877371009E-2</v>
      </c>
      <c r="AU45" s="8">
        <v>1.3370005371755078</v>
      </c>
      <c r="AV45" s="37">
        <v>0.7605665222998429</v>
      </c>
      <c r="AW45" s="8">
        <v>1.6791357471361044</v>
      </c>
      <c r="AX45" s="40">
        <v>9.45355543551189E-2</v>
      </c>
      <c r="AY45" s="8">
        <v>1.0158377926139228</v>
      </c>
      <c r="AZ45" s="8">
        <v>0.60497657461376342</v>
      </c>
      <c r="BA45" s="18">
        <v>10.551995906386935</v>
      </c>
      <c r="BB45" s="8">
        <v>1.1919287876615945</v>
      </c>
      <c r="BC45" s="9">
        <v>6.0362223929278869E-2</v>
      </c>
      <c r="BD45" s="8">
        <v>2.5177843609524371</v>
      </c>
      <c r="BE45" s="10">
        <v>0.78873641623869117</v>
      </c>
      <c r="BF45" s="8">
        <v>2.8231569165914974</v>
      </c>
      <c r="BG45" s="9">
        <v>9.4768800980553625E-2</v>
      </c>
      <c r="BH45" s="8">
        <v>1.1919287876615945</v>
      </c>
      <c r="BI45" s="19">
        <v>0.45344269058640585</v>
      </c>
    </row>
    <row r="46" spans="1:61" x14ac:dyDescent="0.25">
      <c r="A46" s="3" t="s">
        <v>72</v>
      </c>
      <c r="B46" s="3" t="s">
        <v>142</v>
      </c>
      <c r="C46" s="3" t="s">
        <v>146</v>
      </c>
      <c r="D46" s="3" t="s">
        <v>142</v>
      </c>
      <c r="E46" s="4" t="s">
        <v>108</v>
      </c>
      <c r="F46" s="5">
        <v>4.9976274992217845E-4</v>
      </c>
      <c r="G46" s="6">
        <v>31.63067736776949</v>
      </c>
      <c r="H46" s="7">
        <v>6.2159443924319206E-2</v>
      </c>
      <c r="I46" s="8">
        <v>2.2028299522764438</v>
      </c>
      <c r="J46" s="9">
        <v>0.42101309974783224</v>
      </c>
      <c r="K46" s="8">
        <v>1.8030440617258718</v>
      </c>
      <c r="L46" s="10">
        <v>0.16916551518006662</v>
      </c>
      <c r="M46" s="8">
        <v>2.3600929554177528</v>
      </c>
      <c r="N46" s="11">
        <v>3.6154449748902322E-4</v>
      </c>
      <c r="O46" s="12">
        <v>0.64863279379379446</v>
      </c>
      <c r="P46" s="13">
        <v>193.41110808152399</v>
      </c>
      <c r="Q46" s="13">
        <v>216.50375357321914</v>
      </c>
      <c r="R46" s="13">
        <v>13.020884397620328</v>
      </c>
      <c r="S46" s="8">
        <v>5.390809223843565</v>
      </c>
      <c r="T46" s="10">
        <v>1.1563367774454101</v>
      </c>
      <c r="U46" s="14">
        <v>0.93775083907199697</v>
      </c>
      <c r="V46" s="15">
        <v>485.2339573534465</v>
      </c>
      <c r="W46" s="16">
        <v>5.9513195540993991</v>
      </c>
      <c r="X46" s="15">
        <v>486.40341160001049</v>
      </c>
      <c r="Y46" s="16">
        <v>5.9552402713715065</v>
      </c>
      <c r="Z46" s="15">
        <v>472.84420562715007</v>
      </c>
      <c r="AA46" s="16">
        <v>7.5381083747874662</v>
      </c>
      <c r="AB46" s="15">
        <v>405.5849978615874</v>
      </c>
      <c r="AC46" s="16">
        <v>110.49601894229953</v>
      </c>
      <c r="AD46" s="15">
        <v>547.0502311620105</v>
      </c>
      <c r="AE46" s="16">
        <v>15.139962668402204</v>
      </c>
      <c r="AF46" s="15">
        <v>554.04775394032947</v>
      </c>
      <c r="AG46" s="16">
        <v>13.890635665964252</v>
      </c>
      <c r="AH46" s="10"/>
      <c r="AI46" s="16">
        <v>484.42045788938287</v>
      </c>
      <c r="AJ46" s="45">
        <f>100-(100*V46/AB46)</f>
        <v>-19.638043791511407</v>
      </c>
      <c r="AK46" s="17">
        <f t="shared" si="0"/>
        <v>-19.638043791511407</v>
      </c>
      <c r="AL46" s="7">
        <v>2.7790664586597957E-2</v>
      </c>
      <c r="AM46" s="8">
        <v>2.5416377915637338</v>
      </c>
      <c r="AN46" s="18">
        <v>12.676750469311646</v>
      </c>
      <c r="AO46" s="8">
        <v>1.2406474228908249</v>
      </c>
      <c r="AP46" s="7">
        <v>6.2159443924319206E-2</v>
      </c>
      <c r="AQ46" s="8">
        <v>2.2028299522764438</v>
      </c>
      <c r="AR46" s="18">
        <v>12.79143911824581</v>
      </c>
      <c r="AS46" s="8">
        <v>1.2732235159719034</v>
      </c>
      <c r="AT46" s="7">
        <v>5.4861711957234487E-2</v>
      </c>
      <c r="AU46" s="8">
        <v>4.9363520587708436</v>
      </c>
      <c r="AV46" s="37">
        <v>0.5913590155679721</v>
      </c>
      <c r="AW46" s="8">
        <v>5.0979083720438725</v>
      </c>
      <c r="AX46" s="40">
        <v>7.817728644571291E-2</v>
      </c>
      <c r="AY46" s="8">
        <v>1.2732235159719034</v>
      </c>
      <c r="AZ46" s="8">
        <v>0.24975409973118798</v>
      </c>
      <c r="BA46" s="18">
        <v>13.139385033699213</v>
      </c>
      <c r="BB46" s="8">
        <v>1.6533876621307357</v>
      </c>
      <c r="BC46" s="9">
        <v>3.2721630496527085E-2</v>
      </c>
      <c r="BD46" s="8">
        <v>16.701555404551701</v>
      </c>
      <c r="BE46" s="10">
        <v>0.34336906950286383</v>
      </c>
      <c r="BF46" s="8">
        <v>17.326658909648692</v>
      </c>
      <c r="BG46" s="9">
        <v>7.6107062654397595E-2</v>
      </c>
      <c r="BH46" s="8">
        <v>1.6533876621307357</v>
      </c>
      <c r="BI46" s="19">
        <v>0.4189666212634891</v>
      </c>
    </row>
    <row r="47" spans="1:61" x14ac:dyDescent="0.25">
      <c r="A47" s="3" t="s">
        <v>72</v>
      </c>
      <c r="B47" s="3" t="s">
        <v>142</v>
      </c>
      <c r="C47" s="3" t="s">
        <v>146</v>
      </c>
      <c r="D47" s="3" t="s">
        <v>142</v>
      </c>
      <c r="E47" s="4" t="s">
        <v>109</v>
      </c>
      <c r="F47" s="5">
        <v>4.0681862833139698E-4</v>
      </c>
      <c r="G47" s="6">
        <v>40.83313206322984</v>
      </c>
      <c r="H47" s="7">
        <v>5.9673829027015277E-2</v>
      </c>
      <c r="I47" s="8">
        <v>2.6557400508210174</v>
      </c>
      <c r="J47" s="9">
        <v>0.39544275094241166</v>
      </c>
      <c r="K47" s="8">
        <v>2.1017732268270608</v>
      </c>
      <c r="L47" s="10">
        <v>0.15691271723093222</v>
      </c>
      <c r="M47" s="8">
        <v>1.1180345997475118</v>
      </c>
      <c r="N47" s="11">
        <v>2.5740865963610473E-4</v>
      </c>
      <c r="O47" s="12">
        <v>0.46339572275375879</v>
      </c>
      <c r="P47" s="13">
        <v>151.50040570836501</v>
      </c>
      <c r="Q47" s="13">
        <v>158.32884084942825</v>
      </c>
      <c r="R47" s="13">
        <v>9.3697865298355865</v>
      </c>
      <c r="S47" s="8">
        <v>3.6661201894827014</v>
      </c>
      <c r="T47" s="10">
        <v>1.07955943637733</v>
      </c>
      <c r="U47" s="14">
        <v>0.477513002979919</v>
      </c>
      <c r="V47" s="15">
        <v>447.01399661646377</v>
      </c>
      <c r="W47" s="16">
        <v>5.4961471722977748</v>
      </c>
      <c r="X47" s="15">
        <v>448.18406662485205</v>
      </c>
      <c r="Y47" s="16">
        <v>5.4945453126407342</v>
      </c>
      <c r="Z47" s="15">
        <v>435.62816950433654</v>
      </c>
      <c r="AA47" s="16">
        <v>6.8317079240180201</v>
      </c>
      <c r="AB47" s="15">
        <v>358.51012563437837</v>
      </c>
      <c r="AC47" s="16">
        <v>122.75055557931874</v>
      </c>
      <c r="AD47" s="15">
        <v>508.26840206239149</v>
      </c>
      <c r="AE47" s="16">
        <v>14.977440264051372</v>
      </c>
      <c r="AF47" s="15">
        <v>515.7257961002606</v>
      </c>
      <c r="AG47" s="16">
        <v>13.802126352067273</v>
      </c>
      <c r="AH47" s="10"/>
      <c r="AI47" s="16">
        <v>470.16015547662107</v>
      </c>
      <c r="AJ47" s="45">
        <f>100-(100*V47/AB47)</f>
        <v>-24.686574981802565</v>
      </c>
      <c r="AK47" s="17">
        <f t="shared" si="0"/>
        <v>-24.686574981802565</v>
      </c>
      <c r="AL47" s="7">
        <v>2.5843841360821074E-2</v>
      </c>
      <c r="AM47" s="8">
        <v>2.7105410616073948</v>
      </c>
      <c r="AN47" s="18">
        <v>13.824839043387724</v>
      </c>
      <c r="AO47" s="8">
        <v>1.2364768465301175</v>
      </c>
      <c r="AP47" s="7">
        <v>5.9673829027015277E-2</v>
      </c>
      <c r="AQ47" s="8">
        <v>2.6557400508210174</v>
      </c>
      <c r="AR47" s="18">
        <v>13.926834804476574</v>
      </c>
      <c r="AS47" s="8">
        <v>1.2726467549919636</v>
      </c>
      <c r="AT47" s="7">
        <v>5.3724649431283154E-2</v>
      </c>
      <c r="AU47" s="8">
        <v>5.4385989442434663</v>
      </c>
      <c r="AV47" s="37">
        <v>0.53189075389939089</v>
      </c>
      <c r="AW47" s="8">
        <v>5.5855159331361435</v>
      </c>
      <c r="AX47" s="40">
        <v>7.1803824346258843E-2</v>
      </c>
      <c r="AY47" s="8">
        <v>1.2726467549919636</v>
      </c>
      <c r="AZ47" s="8">
        <v>0.22784766353309829</v>
      </c>
      <c r="BA47" s="18">
        <v>14.303604642802387</v>
      </c>
      <c r="BB47" s="8">
        <v>1.6218281070800198</v>
      </c>
      <c r="BC47" s="9">
        <v>3.1748526006872495E-2</v>
      </c>
      <c r="BD47" s="8">
        <v>15.896292271046118</v>
      </c>
      <c r="BE47" s="10">
        <v>0.30604081105040487</v>
      </c>
      <c r="BF47" s="8">
        <v>16.501025116683021</v>
      </c>
      <c r="BG47" s="9">
        <v>6.9912446895209923E-2</v>
      </c>
      <c r="BH47" s="8">
        <v>1.6218281070800198</v>
      </c>
      <c r="BI47" s="19">
        <v>0.41518183531060598</v>
      </c>
    </row>
    <row r="48" spans="1:61" x14ac:dyDescent="0.25">
      <c r="A48" s="3" t="s">
        <v>74</v>
      </c>
      <c r="B48" s="3" t="s">
        <v>142</v>
      </c>
      <c r="C48" s="3" t="s">
        <v>149</v>
      </c>
      <c r="D48" s="3" t="s">
        <v>142</v>
      </c>
      <c r="E48" s="4" t="s">
        <v>110</v>
      </c>
      <c r="F48" s="5">
        <v>1.6127576717262708E-5</v>
      </c>
      <c r="G48" s="6">
        <v>100.00080500057355</v>
      </c>
      <c r="H48" s="7">
        <v>5.9839378729182706E-2</v>
      </c>
      <c r="I48" s="8">
        <v>1.2656301453171872</v>
      </c>
      <c r="J48" s="9">
        <v>0.29162216556088821</v>
      </c>
      <c r="K48" s="8">
        <v>1.1977162281730689</v>
      </c>
      <c r="L48" s="10">
        <v>0.21074057035490421</v>
      </c>
      <c r="M48" s="8">
        <v>2.4044593502423801</v>
      </c>
      <c r="N48" s="11">
        <v>5.314830626409066E-5</v>
      </c>
      <c r="O48" s="12">
        <v>9.4627939704702374E-2</v>
      </c>
      <c r="P48" s="13">
        <v>512.94821346893002</v>
      </c>
      <c r="Q48" s="13">
        <v>452.67322893620718</v>
      </c>
      <c r="R48" s="13">
        <v>40.63037173486358</v>
      </c>
      <c r="S48" s="8">
        <v>11.893079155332694</v>
      </c>
      <c r="T48" s="10">
        <v>0.91161531166815502</v>
      </c>
      <c r="U48" s="14">
        <v>0.31566055601372101</v>
      </c>
      <c r="V48" s="15">
        <v>568.9608355022516</v>
      </c>
      <c r="W48" s="16">
        <v>6.6855014566727702</v>
      </c>
      <c r="X48" s="15">
        <v>568.60177333720435</v>
      </c>
      <c r="Y48" s="16">
        <v>6.8222652819157386</v>
      </c>
      <c r="Z48" s="15">
        <v>566.27881660861885</v>
      </c>
      <c r="AA48" s="16">
        <v>7.8324441692365552</v>
      </c>
      <c r="AB48" s="15">
        <v>588.29983172778032</v>
      </c>
      <c r="AC48" s="16">
        <v>28.858757655639561</v>
      </c>
      <c r="AD48" s="15">
        <v>586.94041183112154</v>
      </c>
      <c r="AE48" s="16">
        <v>10.158960885336064</v>
      </c>
      <c r="AF48" s="15">
        <v>584.17501372977006</v>
      </c>
      <c r="AG48" s="16">
        <v>10.835341908079517</v>
      </c>
      <c r="AH48" s="10">
        <v>434.26747451285814</v>
      </c>
      <c r="AI48" s="16">
        <v>62.926863382217988</v>
      </c>
      <c r="AJ48" s="45">
        <v>3.4343938423500502</v>
      </c>
      <c r="AK48" s="17">
        <f t="shared" si="0"/>
        <v>3.2872686991481856</v>
      </c>
      <c r="AL48" s="7">
        <v>2.9323776336649843E-2</v>
      </c>
      <c r="AM48" s="8">
        <v>1.8817439534377862</v>
      </c>
      <c r="AN48" s="18">
        <v>10.834396648749228</v>
      </c>
      <c r="AO48" s="8">
        <v>1.2273182450435787</v>
      </c>
      <c r="AP48" s="7">
        <v>5.9839378729182706E-2</v>
      </c>
      <c r="AQ48" s="8">
        <v>1.2656301453171872</v>
      </c>
      <c r="AR48" s="18">
        <v>10.837508569480878</v>
      </c>
      <c r="AS48" s="8">
        <v>1.2276542981717404</v>
      </c>
      <c r="AT48" s="7">
        <v>5.9605275862502187E-2</v>
      </c>
      <c r="AU48" s="8">
        <v>1.3303015444988897</v>
      </c>
      <c r="AV48" s="37">
        <v>0.7583270069160799</v>
      </c>
      <c r="AW48" s="8">
        <v>1.8102036557016672</v>
      </c>
      <c r="AX48" s="40">
        <v>9.227213003697772E-2</v>
      </c>
      <c r="AY48" s="8">
        <v>1.2276542981717404</v>
      </c>
      <c r="AZ48" s="8">
        <v>0.67818573578997654</v>
      </c>
      <c r="BA48" s="18">
        <v>10.891135973395675</v>
      </c>
      <c r="BB48" s="8">
        <v>1.4447824168492962</v>
      </c>
      <c r="BC48" s="9">
        <v>5.5571005689293351E-2</v>
      </c>
      <c r="BD48" s="8">
        <v>2.825327535690711</v>
      </c>
      <c r="BE48" s="10">
        <v>0.70351984248075117</v>
      </c>
      <c r="BF48" s="8">
        <v>3.1650056789832743</v>
      </c>
      <c r="BG48" s="9">
        <v>9.1817786725163497E-2</v>
      </c>
      <c r="BH48" s="8">
        <v>1.4447824168492962</v>
      </c>
      <c r="BI48" s="19">
        <v>0.45073384782603287</v>
      </c>
    </row>
    <row r="49" spans="1:61" x14ac:dyDescent="0.25">
      <c r="A49" s="3" t="s">
        <v>74</v>
      </c>
      <c r="B49" s="3" t="s">
        <v>142</v>
      </c>
      <c r="C49" s="3" t="s">
        <v>142</v>
      </c>
      <c r="D49" s="3" t="s">
        <v>142</v>
      </c>
      <c r="E49" s="4" t="s">
        <v>111</v>
      </c>
      <c r="F49" s="5">
        <v>-8.6177546553396832E-5</v>
      </c>
      <c r="G49" s="6">
        <v>44.723286128036968</v>
      </c>
      <c r="H49" s="7">
        <v>6.0376489156538385E-2</v>
      </c>
      <c r="I49" s="8">
        <v>1.3152493206766542</v>
      </c>
      <c r="J49" s="9">
        <v>0.27918294193849724</v>
      </c>
      <c r="K49" s="8">
        <v>1.2405874211524237</v>
      </c>
      <c r="L49" s="10">
        <v>0.20673538463635308</v>
      </c>
      <c r="M49" s="8">
        <v>3.4849410371225118</v>
      </c>
      <c r="N49" s="11">
        <v>1.359437044387747E-4</v>
      </c>
      <c r="O49" s="12">
        <v>0.24260086349858062</v>
      </c>
      <c r="P49" s="13">
        <v>466.81946063588703</v>
      </c>
      <c r="Q49" s="13">
        <v>397.09838550767074</v>
      </c>
      <c r="R49" s="13">
        <v>35.296358757292765</v>
      </c>
      <c r="S49" s="8">
        <v>9.7912933062166516</v>
      </c>
      <c r="T49" s="10">
        <v>0.87871793448940305</v>
      </c>
      <c r="U49" s="14">
        <v>0.322964036606955</v>
      </c>
      <c r="V49" s="15">
        <v>545.8961285905508</v>
      </c>
      <c r="W49" s="16">
        <v>11.599588907840319</v>
      </c>
      <c r="X49" s="15">
        <v>543.82418925321144</v>
      </c>
      <c r="Y49" s="16">
        <v>11.764309337200674</v>
      </c>
      <c r="Z49" s="15">
        <v>543.12005378659887</v>
      </c>
      <c r="AA49" s="16">
        <v>13.397731446958266</v>
      </c>
      <c r="AB49" s="15">
        <v>660.13424911165725</v>
      </c>
      <c r="AC49" s="16">
        <v>33.708972508283082</v>
      </c>
      <c r="AD49" s="15">
        <v>565.22847508804568</v>
      </c>
      <c r="AE49" s="16">
        <v>14.549462439102854</v>
      </c>
      <c r="AF49" s="15">
        <v>548.72911616558054</v>
      </c>
      <c r="AG49" s="16">
        <v>14.542022771506334</v>
      </c>
      <c r="AH49" s="10">
        <v>502.06404385000718</v>
      </c>
      <c r="AI49" s="16">
        <v>61.438694516564098</v>
      </c>
      <c r="AJ49" s="45">
        <v>18.046094080598198</v>
      </c>
      <c r="AK49" s="17">
        <f t="shared" si="0"/>
        <v>17.305286110338415</v>
      </c>
      <c r="AL49" s="7">
        <v>2.752024773847217E-2</v>
      </c>
      <c r="AM49" s="8">
        <v>2.6862638813201971</v>
      </c>
      <c r="AN49" s="18">
        <v>11.333324636357386</v>
      </c>
      <c r="AO49" s="8">
        <v>2.215045713068672</v>
      </c>
      <c r="AP49" s="7">
        <v>6.0376489156538385E-2</v>
      </c>
      <c r="AQ49" s="8">
        <v>1.3152493206766542</v>
      </c>
      <c r="AR49" s="18">
        <v>11.315921909268278</v>
      </c>
      <c r="AS49" s="8">
        <v>2.2161100285025332</v>
      </c>
      <c r="AT49" s="7">
        <v>6.1624358258822655E-2</v>
      </c>
      <c r="AU49" s="8">
        <v>1.5726037841407674</v>
      </c>
      <c r="AV49" s="37">
        <v>0.75086825314402461</v>
      </c>
      <c r="AW49" s="8">
        <v>2.7173932951126822</v>
      </c>
      <c r="AX49" s="40">
        <v>8.8371058762870436E-2</v>
      </c>
      <c r="AY49" s="8">
        <v>2.2161100285025332</v>
      </c>
      <c r="AZ49" s="8">
        <v>0.81552789303200135</v>
      </c>
      <c r="BA49" s="18">
        <v>11.376245241333299</v>
      </c>
      <c r="BB49" s="8">
        <v>2.5721836261345334</v>
      </c>
      <c r="BC49" s="9">
        <v>5.7298851006692617E-2</v>
      </c>
      <c r="BD49" s="8">
        <v>2.7909876550255723</v>
      </c>
      <c r="BE49" s="10">
        <v>0.69446160918704425</v>
      </c>
      <c r="BF49" s="8">
        <v>3.4195064049147375</v>
      </c>
      <c r="BG49" s="9">
        <v>8.790246507403876E-2</v>
      </c>
      <c r="BH49" s="8">
        <v>2.5721836261345334</v>
      </c>
      <c r="BI49" s="19">
        <v>0.59800027865179073</v>
      </c>
    </row>
    <row r="50" spans="1:61" x14ac:dyDescent="0.25">
      <c r="A50" s="3" t="s">
        <v>72</v>
      </c>
      <c r="B50" s="3" t="s">
        <v>142</v>
      </c>
      <c r="C50" s="3" t="s">
        <v>146</v>
      </c>
      <c r="D50" s="3" t="s">
        <v>142</v>
      </c>
      <c r="E50" s="4" t="s">
        <v>112</v>
      </c>
      <c r="F50" s="5">
        <v>2.6925934701526173E-4</v>
      </c>
      <c r="G50" s="6">
        <v>40.830324688699307</v>
      </c>
      <c r="H50" s="7">
        <v>6.0447885155375386E-2</v>
      </c>
      <c r="I50" s="8">
        <v>2.1058538701821776</v>
      </c>
      <c r="J50" s="9">
        <v>0.3754651655243248</v>
      </c>
      <c r="K50" s="8">
        <v>1.7509723181623291</v>
      </c>
      <c r="L50" s="10">
        <v>0.17566678305879771</v>
      </c>
      <c r="M50" s="8">
        <v>3.205726964641308</v>
      </c>
      <c r="N50" s="11">
        <v>2.6257780109900192E-4</v>
      </c>
      <c r="O50" s="12">
        <v>0.47150799596862047</v>
      </c>
      <c r="P50" s="13">
        <v>211.77134974004099</v>
      </c>
      <c r="Q50" s="13">
        <v>204.45672100436667</v>
      </c>
      <c r="R50" s="13">
        <v>13.935793934165217</v>
      </c>
      <c r="S50" s="8">
        <v>5.168101245171691</v>
      </c>
      <c r="T50" s="10">
        <v>0.997319954076758</v>
      </c>
      <c r="U50" s="14">
        <v>0.42531298324762801</v>
      </c>
      <c r="V50" s="15">
        <v>475.78614097200972</v>
      </c>
      <c r="W50" s="16">
        <v>5.3486878433857639</v>
      </c>
      <c r="X50" s="15">
        <v>475.84143708434937</v>
      </c>
      <c r="Y50" s="16">
        <v>5.3988210425924761</v>
      </c>
      <c r="Z50" s="15">
        <v>461.25358463176661</v>
      </c>
      <c r="AA50" s="16">
        <v>6.5352895209283854</v>
      </c>
      <c r="AB50" s="15">
        <v>472.01629748808875</v>
      </c>
      <c r="AC50" s="16">
        <v>80.493425227433875</v>
      </c>
      <c r="AD50" s="15">
        <v>561.95711194340481</v>
      </c>
      <c r="AE50" s="16">
        <v>13.41394597477521</v>
      </c>
      <c r="AF50" s="15">
        <v>562.33976308164995</v>
      </c>
      <c r="AG50" s="16">
        <v>12.904613018681259</v>
      </c>
      <c r="AH50" s="10"/>
      <c r="AI50" s="16" t="e">
        <v>#NUM!</v>
      </c>
      <c r="AJ50" s="45">
        <f>100-(100*V50/AB50)</f>
        <v>-0.79866807650134319</v>
      </c>
      <c r="AK50" s="17">
        <f t="shared" si="0"/>
        <v>-0.79866807650134319</v>
      </c>
      <c r="AL50" s="7">
        <v>2.8212399281684952E-2</v>
      </c>
      <c r="AM50" s="8">
        <v>2.3268779464582852</v>
      </c>
      <c r="AN50" s="18">
        <v>12.992001933458573</v>
      </c>
      <c r="AO50" s="8">
        <v>1.1491784295113756</v>
      </c>
      <c r="AP50" s="7">
        <v>6.0447885155375386E-2</v>
      </c>
      <c r="AQ50" s="8">
        <v>2.1058538701821776</v>
      </c>
      <c r="AR50" s="18">
        <v>13.055124238885645</v>
      </c>
      <c r="AS50" s="8">
        <v>1.1661750242858884</v>
      </c>
      <c r="AT50" s="7">
        <v>5.6524031337796238E-2</v>
      </c>
      <c r="AU50" s="8">
        <v>3.6377491488675031</v>
      </c>
      <c r="AV50" s="37">
        <v>0.59697121974846734</v>
      </c>
      <c r="AW50" s="8">
        <v>3.8201024930431431</v>
      </c>
      <c r="AX50" s="40">
        <v>7.65982752597196E-2</v>
      </c>
      <c r="AY50" s="8">
        <v>1.1661750242858884</v>
      </c>
      <c r="AZ50" s="8">
        <v>0.30527322929414341</v>
      </c>
      <c r="BA50" s="18">
        <v>13.481819247076668</v>
      </c>
      <c r="BB50" s="8">
        <v>1.4681477003453043</v>
      </c>
      <c r="BC50" s="9">
        <v>2.9999511589913569E-2</v>
      </c>
      <c r="BD50" s="8">
        <v>11.531162650643234</v>
      </c>
      <c r="BE50" s="10">
        <v>0.3068081971885348</v>
      </c>
      <c r="BF50" s="8">
        <v>12.0005055752502</v>
      </c>
      <c r="BG50" s="9">
        <v>7.4173965818213672E-2</v>
      </c>
      <c r="BH50" s="8">
        <v>1.4681477003453043</v>
      </c>
      <c r="BI50" s="19">
        <v>0.37460251072010736</v>
      </c>
    </row>
    <row r="51" spans="1:61" x14ac:dyDescent="0.25">
      <c r="A51" s="3" t="s">
        <v>72</v>
      </c>
      <c r="B51" s="3" t="s">
        <v>142</v>
      </c>
      <c r="C51" s="3" t="s">
        <v>146</v>
      </c>
      <c r="D51" s="3" t="s">
        <v>142</v>
      </c>
      <c r="E51" s="4" t="s">
        <v>113</v>
      </c>
      <c r="F51" s="5">
        <v>4.2555657912658863E-5</v>
      </c>
      <c r="G51" s="6">
        <v>57.736255069182732</v>
      </c>
      <c r="H51" s="7">
        <v>5.8776816530915044E-2</v>
      </c>
      <c r="I51" s="8">
        <v>1.1986691421854641</v>
      </c>
      <c r="J51" s="9">
        <v>0.26124985736645429</v>
      </c>
      <c r="K51" s="8">
        <v>1.1541887571383127</v>
      </c>
      <c r="L51" s="10">
        <v>0.19171704237519113</v>
      </c>
      <c r="M51" s="8">
        <v>2.3453915532966993</v>
      </c>
      <c r="N51" s="11">
        <v>5.2832192403628376E-6</v>
      </c>
      <c r="O51" s="12">
        <v>9.4187049844562248E-3</v>
      </c>
      <c r="P51" s="13">
        <v>646.87574063556804</v>
      </c>
      <c r="Q51" s="13">
        <v>522.19310640847664</v>
      </c>
      <c r="R51" s="13">
        <v>49.960226718953656</v>
      </c>
      <c r="S51" s="8">
        <v>13.170040814449903</v>
      </c>
      <c r="T51" s="10">
        <v>0.83389350540485596</v>
      </c>
      <c r="U51" s="14">
        <v>0.30419487694469</v>
      </c>
      <c r="V51" s="15">
        <v>554.65433267987328</v>
      </c>
      <c r="W51" s="16">
        <v>5.4573038653362538</v>
      </c>
      <c r="X51" s="15">
        <v>555.00773624427779</v>
      </c>
      <c r="Y51" s="16">
        <v>5.572810392342789</v>
      </c>
      <c r="Z51" s="15">
        <v>554.18560279690234</v>
      </c>
      <c r="AA51" s="16">
        <v>6.3042634312219636</v>
      </c>
      <c r="AB51" s="15">
        <v>534.73393360280761</v>
      </c>
      <c r="AC51" s="16">
        <v>29.756784911036601</v>
      </c>
      <c r="AD51" s="15">
        <v>558.1266918278626</v>
      </c>
      <c r="AE51" s="16">
        <v>8.8828510276096466</v>
      </c>
      <c r="AF51" s="15">
        <v>561.09779657286708</v>
      </c>
      <c r="AG51" s="16">
        <v>9.5902993641496828</v>
      </c>
      <c r="AH51" s="10">
        <v>507.39956628196632</v>
      </c>
      <c r="AI51" s="16">
        <v>47.265222627390102</v>
      </c>
      <c r="AJ51" s="45">
        <v>-3.8879392442924301</v>
      </c>
      <c r="AK51" s="17">
        <f t="shared" si="0"/>
        <v>-3.72529174328821</v>
      </c>
      <c r="AL51" s="7">
        <v>2.814922138235354E-2</v>
      </c>
      <c r="AM51" s="8">
        <v>1.7330365863223822</v>
      </c>
      <c r="AN51" s="18">
        <v>11.121124965378225</v>
      </c>
      <c r="AO51" s="8">
        <v>1.0259098343400719</v>
      </c>
      <c r="AP51" s="7">
        <v>5.8776816530915044E-2</v>
      </c>
      <c r="AQ51" s="8">
        <v>1.1986691421854641</v>
      </c>
      <c r="AR51" s="18">
        <v>11.129568576041882</v>
      </c>
      <c r="AS51" s="8">
        <v>1.0268459271293009</v>
      </c>
      <c r="AT51" s="7">
        <v>5.8157980296952384E-2</v>
      </c>
      <c r="AU51" s="8">
        <v>1.3593286939692459</v>
      </c>
      <c r="AV51" s="37">
        <v>0.72049713953922268</v>
      </c>
      <c r="AW51" s="8">
        <v>1.703580657412548</v>
      </c>
      <c r="AX51" s="40">
        <v>8.9850742476456344E-2</v>
      </c>
      <c r="AY51" s="8">
        <v>1.0268459271293009</v>
      </c>
      <c r="AZ51" s="8">
        <v>0.60275744659422636</v>
      </c>
      <c r="BA51" s="18">
        <v>11.139392738093591</v>
      </c>
      <c r="BB51" s="8">
        <v>1.1871705347195256</v>
      </c>
      <c r="BC51" s="9">
        <v>5.7437962796371859E-2</v>
      </c>
      <c r="BD51" s="8">
        <v>2.1490894114993147</v>
      </c>
      <c r="BE51" s="10">
        <v>0.71094955502207324</v>
      </c>
      <c r="BF51" s="8">
        <v>2.4101129288064329</v>
      </c>
      <c r="BG51" s="9">
        <v>8.9771500432001217E-2</v>
      </c>
      <c r="BH51" s="8">
        <v>1.1871705347195256</v>
      </c>
      <c r="BI51" s="19">
        <v>0.45425332595448076</v>
      </c>
    </row>
    <row r="52" spans="1:61" x14ac:dyDescent="0.25">
      <c r="A52" s="3" t="s">
        <v>78</v>
      </c>
      <c r="B52" s="3" t="s">
        <v>142</v>
      </c>
      <c r="C52" s="3" t="s">
        <v>142</v>
      </c>
      <c r="D52" s="3" t="s">
        <v>142</v>
      </c>
      <c r="E52" s="4" t="s">
        <v>114</v>
      </c>
      <c r="F52" s="5">
        <v>-6.0828163158395139E-13</v>
      </c>
      <c r="G52" s="20">
        <v>9999</v>
      </c>
      <c r="H52" s="7">
        <v>6.2149439344049928E-2</v>
      </c>
      <c r="I52" s="8">
        <v>1.9814996174806359</v>
      </c>
      <c r="J52" s="9">
        <v>0.11060754288966068</v>
      </c>
      <c r="K52" s="8">
        <v>2.923548236769101</v>
      </c>
      <c r="L52" s="10">
        <v>0.22079436249520265</v>
      </c>
      <c r="M52" s="8">
        <v>2.6966808823743089</v>
      </c>
      <c r="N52" s="11">
        <v>2.1781871760232836E-4</v>
      </c>
      <c r="O52" s="12">
        <v>0.38792330833609096</v>
      </c>
      <c r="P52" s="13">
        <v>195.82869034139199</v>
      </c>
      <c r="Q52" s="13">
        <v>67.567143317618502</v>
      </c>
      <c r="R52" s="13">
        <v>15.425150090441514</v>
      </c>
      <c r="S52" s="8">
        <v>1.6014229012208694</v>
      </c>
      <c r="T52" s="10">
        <v>0.35641794328206799</v>
      </c>
      <c r="U52" s="14">
        <v>0.61169434905262798</v>
      </c>
      <c r="V52" s="15">
        <v>567.67991554367131</v>
      </c>
      <c r="W52" s="16">
        <v>10.850415399312032</v>
      </c>
      <c r="X52" s="15">
        <v>565.57158615471883</v>
      </c>
      <c r="Y52" s="16">
        <v>11.041496950624538</v>
      </c>
      <c r="Z52" s="15">
        <v>567.59224816788094</v>
      </c>
      <c r="AA52" s="16">
        <v>11.481218986913992</v>
      </c>
      <c r="AB52" s="15">
        <v>678.29380223206988</v>
      </c>
      <c r="AC52" s="16">
        <v>42.346625610948514</v>
      </c>
      <c r="AD52" s="15">
        <v>569.32012430553357</v>
      </c>
      <c r="AE52" s="16">
        <v>20.169242910847998</v>
      </c>
      <c r="AF52" s="15">
        <v>527.73163362528464</v>
      </c>
      <c r="AG52" s="16">
        <v>25.281152063958558</v>
      </c>
      <c r="AH52" s="10">
        <v>673.77916985943489</v>
      </c>
      <c r="AI52" s="16">
        <v>50.027681060473562</v>
      </c>
      <c r="AJ52" s="45">
        <v>17.034095843280699</v>
      </c>
      <c r="AK52" s="17">
        <f t="shared" si="0"/>
        <v>16.30766584102642</v>
      </c>
      <c r="AL52" s="7">
        <v>2.6453362131325431E-2</v>
      </c>
      <c r="AM52" s="8">
        <v>4.8533432555787703</v>
      </c>
      <c r="AN52" s="18">
        <v>10.863057517785508</v>
      </c>
      <c r="AO52" s="8">
        <v>1.9967550693503786</v>
      </c>
      <c r="AP52" s="7">
        <v>6.2149439344049928E-2</v>
      </c>
      <c r="AQ52" s="8">
        <v>1.9814996174806359</v>
      </c>
      <c r="AR52" s="18">
        <v>10.863057517667826</v>
      </c>
      <c r="AS52" s="8">
        <v>1.9967550693503815</v>
      </c>
      <c r="AT52" s="7">
        <v>6.2149439352852026E-2</v>
      </c>
      <c r="AU52" s="8">
        <v>1.98149961717904</v>
      </c>
      <c r="AV52" s="37">
        <v>0.78883543459419503</v>
      </c>
      <c r="AW52" s="8">
        <v>2.8130715490113523</v>
      </c>
      <c r="AX52" s="40">
        <v>9.2055114167773316E-2</v>
      </c>
      <c r="AY52" s="8">
        <v>1.9967550693503815</v>
      </c>
      <c r="AZ52" s="8">
        <v>0.70981311159758331</v>
      </c>
      <c r="BA52" s="18">
        <v>10.864810330860729</v>
      </c>
      <c r="BB52" s="8">
        <v>2.1131513085961635</v>
      </c>
      <c r="BC52" s="9">
        <v>6.2018335685045764E-2</v>
      </c>
      <c r="BD52" s="8">
        <v>2.3391740082494485</v>
      </c>
      <c r="BE52" s="10">
        <v>0.78704439965834883</v>
      </c>
      <c r="BF52" s="8">
        <v>2.8392695676931696</v>
      </c>
      <c r="BG52" s="9">
        <v>9.2040262972614473E-2</v>
      </c>
      <c r="BH52" s="8">
        <v>2.1131513085961635</v>
      </c>
      <c r="BI52" s="19">
        <v>0.58794608126886483</v>
      </c>
    </row>
    <row r="53" spans="1:61" x14ac:dyDescent="0.25">
      <c r="A53" s="3" t="s">
        <v>78</v>
      </c>
      <c r="B53" s="3" t="s">
        <v>142</v>
      </c>
      <c r="C53" s="3" t="s">
        <v>142</v>
      </c>
      <c r="D53" s="3" t="s">
        <v>142</v>
      </c>
      <c r="E53" s="4" t="s">
        <v>115</v>
      </c>
      <c r="F53" s="5">
        <v>1.4669984989545089E-4</v>
      </c>
      <c r="G53" s="6">
        <v>50.003667049229037</v>
      </c>
      <c r="H53" s="7">
        <v>6.0068112584610381E-2</v>
      </c>
      <c r="I53" s="8">
        <v>1.9136936942948861</v>
      </c>
      <c r="J53" s="9">
        <v>0.11344289601998471</v>
      </c>
      <c r="K53" s="8">
        <v>2.7132956674353346</v>
      </c>
      <c r="L53" s="10">
        <v>0.24361872271797888</v>
      </c>
      <c r="M53" s="8">
        <v>2.4333272258033611</v>
      </c>
      <c r="N53" s="11">
        <v>7.4983106537857648E-5</v>
      </c>
      <c r="O53" s="12">
        <v>0.1335532091754619</v>
      </c>
      <c r="P53" s="13">
        <v>203.493456182964</v>
      </c>
      <c r="Q53" s="13">
        <v>73.519169035292208</v>
      </c>
      <c r="R53" s="13">
        <v>16.021906016881537</v>
      </c>
      <c r="S53" s="8">
        <v>1.7920223814407532</v>
      </c>
      <c r="T53" s="10">
        <v>0.37320758631753398</v>
      </c>
      <c r="U53" s="14">
        <v>0.58431465742206101</v>
      </c>
      <c r="V53" s="15">
        <v>564.64322152436023</v>
      </c>
      <c r="W53" s="16">
        <v>6.3541526674996875</v>
      </c>
      <c r="X53" s="15">
        <v>565.33555819907974</v>
      </c>
      <c r="Y53" s="16">
        <v>6.4844946040159694</v>
      </c>
      <c r="Z53" s="15">
        <v>566.61446852212714</v>
      </c>
      <c r="AA53" s="16">
        <v>6.7482321550883979</v>
      </c>
      <c r="AB53" s="15">
        <v>526.29164086794901</v>
      </c>
      <c r="AC53" s="16">
        <v>59.503491693212446</v>
      </c>
      <c r="AD53" s="15">
        <v>529.48580298192576</v>
      </c>
      <c r="AE53" s="16">
        <v>20.636297422252287</v>
      </c>
      <c r="AF53" s="15">
        <v>542.53252251009621</v>
      </c>
      <c r="AG53" s="16">
        <v>21.895754074551164</v>
      </c>
      <c r="AH53" s="10">
        <v>634.79455908333944</v>
      </c>
      <c r="AI53" s="16">
        <v>43.93898738935782</v>
      </c>
      <c r="AJ53" s="45">
        <v>-7.6112645788848097</v>
      </c>
      <c r="AK53" s="17">
        <f t="shared" si="0"/>
        <v>-7.2871346755883479</v>
      </c>
      <c r="AL53" s="7">
        <v>2.7205282489865645E-2</v>
      </c>
      <c r="AM53" s="8">
        <v>4.0902486857375671</v>
      </c>
      <c r="AN53" s="18">
        <v>10.895546790366048</v>
      </c>
      <c r="AO53" s="8">
        <v>1.1680203732646264</v>
      </c>
      <c r="AP53" s="7">
        <v>6.0068112584610381E-2</v>
      </c>
      <c r="AQ53" s="8">
        <v>1.9136936942948861</v>
      </c>
      <c r="AR53" s="18">
        <v>10.924090199716517</v>
      </c>
      <c r="AS53" s="8">
        <v>1.1753431816449271</v>
      </c>
      <c r="AT53" s="7">
        <v>5.7934283583960682E-2</v>
      </c>
      <c r="AU53" s="8">
        <v>2.7142921996901044</v>
      </c>
      <c r="AV53" s="37">
        <v>0.73122602198614106</v>
      </c>
      <c r="AW53" s="8">
        <v>2.9578393702055163</v>
      </c>
      <c r="AX53" s="40">
        <v>9.1540804013678895E-2</v>
      </c>
      <c r="AY53" s="8">
        <v>1.1753431816449271</v>
      </c>
      <c r="AZ53" s="8">
        <v>0.39736545313590238</v>
      </c>
      <c r="BA53" s="18">
        <v>10.884396748686136</v>
      </c>
      <c r="BB53" s="8">
        <v>1.244081841744874</v>
      </c>
      <c r="BC53" s="9">
        <v>6.0901659902063456E-2</v>
      </c>
      <c r="BD53" s="8">
        <v>2.0412622185714868</v>
      </c>
      <c r="BE53" s="10">
        <v>0.77148243133549255</v>
      </c>
      <c r="BF53" s="8">
        <v>2.2769094210890217</v>
      </c>
      <c r="BG53" s="9">
        <v>9.1874636977075541E-2</v>
      </c>
      <c r="BH53" s="8">
        <v>1.244081841744874</v>
      </c>
      <c r="BI53" s="19">
        <v>0.45280817094381465</v>
      </c>
    </row>
    <row r="54" spans="1:61" x14ac:dyDescent="0.25">
      <c r="A54" s="3" t="s">
        <v>74</v>
      </c>
      <c r="B54" s="3" t="s">
        <v>142</v>
      </c>
      <c r="C54" s="3" t="s">
        <v>146</v>
      </c>
      <c r="D54" s="3" t="s">
        <v>142</v>
      </c>
      <c r="E54" s="4" t="s">
        <v>116</v>
      </c>
      <c r="F54" s="5">
        <v>1.3895115013672301E-5</v>
      </c>
      <c r="G54" s="6">
        <v>100.00069412833292</v>
      </c>
      <c r="H54" s="7">
        <v>5.8941047147558191E-2</v>
      </c>
      <c r="I54" s="8">
        <v>1.180296783634867</v>
      </c>
      <c r="J54" s="9">
        <v>0.16161392699223667</v>
      </c>
      <c r="K54" s="8">
        <v>1.4131495417751287</v>
      </c>
      <c r="L54" s="10">
        <v>0.24772568598355907</v>
      </c>
      <c r="M54" s="8">
        <v>2.4269649162083149</v>
      </c>
      <c r="N54" s="11">
        <v>-2.5904540099893342E-5</v>
      </c>
      <c r="O54" s="12">
        <v>-4.6083253740309901E-2</v>
      </c>
      <c r="P54" s="13">
        <v>524.05591022537499</v>
      </c>
      <c r="Q54" s="13">
        <v>268.56706949375649</v>
      </c>
      <c r="R54" s="13">
        <v>42.210770973436176</v>
      </c>
      <c r="S54" s="8">
        <v>6.9263545570504457</v>
      </c>
      <c r="T54" s="10">
        <v>0.52938966506023999</v>
      </c>
      <c r="U54" s="14">
        <v>0.35208672911682598</v>
      </c>
      <c r="V54" s="15">
        <v>577.38932072448097</v>
      </c>
      <c r="W54" s="16">
        <v>5.5673858585384286</v>
      </c>
      <c r="X54" s="15">
        <v>577.78043648408868</v>
      </c>
      <c r="Y54" s="16">
        <v>5.6944141491605835</v>
      </c>
      <c r="Z54" s="15">
        <v>578.12151877896667</v>
      </c>
      <c r="AA54" s="16">
        <v>6.0735412806010087</v>
      </c>
      <c r="AB54" s="15">
        <v>556.46016517217527</v>
      </c>
      <c r="AC54" s="16">
        <v>26.903631694878847</v>
      </c>
      <c r="AD54" s="15">
        <v>568.38756223670532</v>
      </c>
      <c r="AE54" s="16">
        <v>10.090770756521545</v>
      </c>
      <c r="AF54" s="15">
        <v>573.58756257103812</v>
      </c>
      <c r="AG54" s="16">
        <v>11.953576242383361</v>
      </c>
      <c r="AH54" s="10">
        <v>596.11975317809561</v>
      </c>
      <c r="AI54" s="16">
        <v>31.348438020346244</v>
      </c>
      <c r="AJ54" s="45">
        <v>-3.93217038885996</v>
      </c>
      <c r="AK54" s="17">
        <f t="shared" si="0"/>
        <v>-3.7611237716953099</v>
      </c>
      <c r="AL54" s="7">
        <v>2.8784743170633842E-2</v>
      </c>
      <c r="AM54" s="8">
        <v>2.1137120097406537</v>
      </c>
      <c r="AN54" s="18">
        <v>10.669586618016963</v>
      </c>
      <c r="AO54" s="8">
        <v>1.0077575964447196</v>
      </c>
      <c r="AP54" s="7">
        <v>5.8941047147558191E-2</v>
      </c>
      <c r="AQ54" s="8">
        <v>1.180296783634867</v>
      </c>
      <c r="AR54" s="18">
        <v>10.672224676105921</v>
      </c>
      <c r="AS54" s="8">
        <v>1.0080608655237415</v>
      </c>
      <c r="AT54" s="7">
        <v>5.8739138899533742E-2</v>
      </c>
      <c r="AU54" s="8">
        <v>1.2335328111243438</v>
      </c>
      <c r="AV54" s="37">
        <v>0.75888136890525582</v>
      </c>
      <c r="AW54" s="8">
        <v>1.5930442256010349</v>
      </c>
      <c r="AX54" s="40">
        <v>9.3701175748192714E-2</v>
      </c>
      <c r="AY54" s="8">
        <v>1.0080608655237415</v>
      </c>
      <c r="AZ54" s="8">
        <v>0.63278900191450316</v>
      </c>
      <c r="BA54" s="18">
        <v>10.658093828679959</v>
      </c>
      <c r="BB54" s="8">
        <v>1.0983767428114377</v>
      </c>
      <c r="BC54" s="9">
        <v>5.9820667262695651E-2</v>
      </c>
      <c r="BD54" s="8">
        <v>1.4469673214670427</v>
      </c>
      <c r="BE54" s="10">
        <v>0.77387886940774164</v>
      </c>
      <c r="BF54" s="8">
        <v>1.6458026355933029</v>
      </c>
      <c r="BG54" s="9">
        <v>9.3825407814396522E-2</v>
      </c>
      <c r="BH54" s="8">
        <v>1.0983767428114377</v>
      </c>
      <c r="BI54" s="19">
        <v>0.50378158188177025</v>
      </c>
    </row>
    <row r="55" spans="1:61" x14ac:dyDescent="0.25">
      <c r="A55" s="3" t="s">
        <v>72</v>
      </c>
      <c r="B55" s="3" t="s">
        <v>142</v>
      </c>
      <c r="C55" s="3" t="s">
        <v>146</v>
      </c>
      <c r="D55" s="3" t="s">
        <v>142</v>
      </c>
      <c r="E55" s="21" t="s">
        <v>117</v>
      </c>
      <c r="F55" s="22">
        <v>3.1090847071846446E-4</v>
      </c>
      <c r="G55" s="23">
        <v>37.802322266351304</v>
      </c>
      <c r="H55" s="24">
        <v>6.2680394534927339E-2</v>
      </c>
      <c r="I55" s="25">
        <v>2.0605890503667621</v>
      </c>
      <c r="J55" s="26">
        <v>0.17165923909825218</v>
      </c>
      <c r="K55" s="25">
        <v>2.4909578785335627</v>
      </c>
      <c r="L55" s="27">
        <v>0.22099737435650854</v>
      </c>
      <c r="M55" s="25">
        <v>0.84390636773693217</v>
      </c>
      <c r="N55" s="28">
        <v>3.8026019933277348E-4</v>
      </c>
      <c r="O55" s="29">
        <v>0.68158988765995543</v>
      </c>
      <c r="P55" s="30">
        <v>190.06920356025199</v>
      </c>
      <c r="Q55" s="30">
        <v>97.227493731261646</v>
      </c>
      <c r="R55" s="30">
        <v>13.060327511117389</v>
      </c>
      <c r="S55" s="25">
        <v>2.088824516411651</v>
      </c>
      <c r="T55" s="27">
        <v>0.52841806638367395</v>
      </c>
      <c r="U55" s="31">
        <v>0.53725592298535696</v>
      </c>
      <c r="V55" s="32">
        <v>496.67542750472091</v>
      </c>
      <c r="W55" s="33">
        <v>5.7634227548221464</v>
      </c>
      <c r="X55" s="32">
        <v>496.07784717583871</v>
      </c>
      <c r="Y55" s="33">
        <v>5.8070087151699807</v>
      </c>
      <c r="Z55" s="32">
        <v>497.4868954795852</v>
      </c>
      <c r="AA55" s="33">
        <v>6.2882962835438905</v>
      </c>
      <c r="AB55" s="32">
        <v>534.76606844860362</v>
      </c>
      <c r="AC55" s="33">
        <v>81.089522544093569</v>
      </c>
      <c r="AD55" s="32">
        <v>486.80784201055422</v>
      </c>
      <c r="AE55" s="33">
        <v>18.98688727718638</v>
      </c>
      <c r="AF55" s="32">
        <v>478.94083649608473</v>
      </c>
      <c r="AG55" s="33">
        <v>16.847460565901631</v>
      </c>
      <c r="AH55" s="27">
        <v>585.70026014569157</v>
      </c>
      <c r="AI55" s="33">
        <v>53.298183150441538</v>
      </c>
      <c r="AJ55" s="46">
        <v>7.4004996771973799</v>
      </c>
      <c r="AK55" s="17">
        <f t="shared" si="0"/>
        <v>7.1228604788606873</v>
      </c>
      <c r="AL55" s="24">
        <v>2.3978569203028099E-2</v>
      </c>
      <c r="AM55" s="25">
        <v>3.5594906258811392</v>
      </c>
      <c r="AN55" s="34">
        <v>12.415968718059712</v>
      </c>
      <c r="AO55" s="25">
        <v>1.1869194033084449</v>
      </c>
      <c r="AP55" s="24">
        <v>6.2680394534927339E-2</v>
      </c>
      <c r="AQ55" s="25">
        <v>2.0605890503667621</v>
      </c>
      <c r="AR55" s="34">
        <v>12.485548400779898</v>
      </c>
      <c r="AS55" s="25">
        <v>1.2056767424282382</v>
      </c>
      <c r="AT55" s="24">
        <v>5.815883404237783E-2</v>
      </c>
      <c r="AU55" s="25">
        <v>3.704295262445306</v>
      </c>
      <c r="AV55" s="38">
        <v>0.64225773513177531</v>
      </c>
      <c r="AW55" s="25">
        <v>3.8955692521898651</v>
      </c>
      <c r="AX55" s="41">
        <v>8.009259728932179E-2</v>
      </c>
      <c r="AY55" s="25">
        <v>1.2056767424282382</v>
      </c>
      <c r="AZ55" s="25">
        <v>0.30949950170966056</v>
      </c>
      <c r="BA55" s="34">
        <v>12.464388185007309</v>
      </c>
      <c r="BB55" s="25">
        <v>1.3134133146288922</v>
      </c>
      <c r="BC55" s="26">
        <v>5.9533907798260448E-2</v>
      </c>
      <c r="BD55" s="25">
        <v>2.4558115841640653</v>
      </c>
      <c r="BE55" s="27">
        <v>0.65855901512259718</v>
      </c>
      <c r="BF55" s="25">
        <v>2.7044654366626508</v>
      </c>
      <c r="BG55" s="26">
        <v>8.0228566790212952E-2</v>
      </c>
      <c r="BH55" s="25">
        <v>1.3134133146288922</v>
      </c>
      <c r="BI55" s="35">
        <v>0.42343873485941402</v>
      </c>
    </row>
    <row r="56" spans="1:61" x14ac:dyDescent="0.25">
      <c r="P56" s="42"/>
    </row>
  </sheetData>
  <autoFilter ref="A1:BI55" xr:uid="{A60B72F6-481B-4C02-82AB-88A004042E7E}"/>
  <conditionalFormatting sqref="F2:BI55">
    <cfRule type="expression" dxfId="11" priority="1" stopIfTrue="1">
      <formula>ISERROR(F2)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5376-4FCF-48C3-B5D5-24383A976B9B}">
  <dimension ref="A1:J55"/>
  <sheetViews>
    <sheetView workbookViewId="0"/>
  </sheetViews>
  <sheetFormatPr defaultRowHeight="15" x14ac:dyDescent="0.25"/>
  <sheetData>
    <row r="1" spans="1:10" ht="43.5" x14ac:dyDescent="0.25">
      <c r="A1" s="1" t="s">
        <v>0</v>
      </c>
      <c r="B1" s="1" t="s">
        <v>141</v>
      </c>
      <c r="C1" s="1" t="s">
        <v>145</v>
      </c>
      <c r="D1" s="53" t="s">
        <v>1</v>
      </c>
      <c r="E1" s="2" t="s">
        <v>12</v>
      </c>
      <c r="F1" s="36" t="s">
        <v>118</v>
      </c>
      <c r="G1" s="2" t="s">
        <v>119</v>
      </c>
      <c r="H1" s="36" t="s">
        <v>120</v>
      </c>
      <c r="I1" s="2" t="s">
        <v>121</v>
      </c>
      <c r="J1" s="2" t="s">
        <v>48</v>
      </c>
    </row>
    <row r="2" spans="1:10" x14ac:dyDescent="0.25">
      <c r="A2" s="3" t="s">
        <v>58</v>
      </c>
      <c r="B2" s="3"/>
      <c r="C2" s="3"/>
      <c r="D2" s="4" t="s">
        <v>59</v>
      </c>
      <c r="E2" s="13">
        <v>1221.4099617967399</v>
      </c>
      <c r="F2" s="37">
        <v>3.2648538321549112</v>
      </c>
      <c r="G2" s="8">
        <v>7.2993419970116413</v>
      </c>
      <c r="H2" s="40">
        <v>0.23778703483717198</v>
      </c>
      <c r="I2" s="8">
        <v>5.7173302758328273</v>
      </c>
      <c r="J2" s="8">
        <v>0.783266529801386</v>
      </c>
    </row>
    <row r="3" spans="1:10" x14ac:dyDescent="0.25">
      <c r="A3" s="3" t="s">
        <v>58</v>
      </c>
      <c r="B3" s="3"/>
      <c r="C3" s="3"/>
      <c r="D3" s="4" t="s">
        <v>60</v>
      </c>
      <c r="E3" s="13">
        <v>276.32624891049301</v>
      </c>
      <c r="F3" s="37">
        <v>0.66193118309009291</v>
      </c>
      <c r="G3" s="8">
        <v>3.2372806912546999</v>
      </c>
      <c r="H3" s="40">
        <v>8.3256571128447643E-2</v>
      </c>
      <c r="I3" s="8">
        <v>1.942558516790073</v>
      </c>
      <c r="J3" s="8">
        <v>0.60005872275387384</v>
      </c>
    </row>
    <row r="4" spans="1:10" x14ac:dyDescent="0.25">
      <c r="A4" s="3" t="s">
        <v>61</v>
      </c>
      <c r="B4" s="3"/>
      <c r="C4" s="3"/>
      <c r="D4" s="4" t="s">
        <v>62</v>
      </c>
      <c r="E4" s="13">
        <v>837.78555043303197</v>
      </c>
      <c r="F4" s="37">
        <v>3.161556449393196</v>
      </c>
      <c r="G4" s="8">
        <v>23.714667099441694</v>
      </c>
      <c r="H4" s="40">
        <v>0.20266448903776474</v>
      </c>
      <c r="I4" s="8">
        <v>18.98997262434877</v>
      </c>
      <c r="J4" s="8">
        <v>0.80076909976087518</v>
      </c>
    </row>
    <row r="5" spans="1:10" x14ac:dyDescent="0.25">
      <c r="A5" s="3" t="s">
        <v>61</v>
      </c>
      <c r="B5" s="3"/>
      <c r="C5" s="3"/>
      <c r="D5" s="4" t="s">
        <v>63</v>
      </c>
      <c r="E5" s="13">
        <v>935.06002719384901</v>
      </c>
      <c r="F5" s="37">
        <v>3.3182806746390412</v>
      </c>
      <c r="G5" s="8">
        <v>1.0696051941789517</v>
      </c>
      <c r="H5" s="40">
        <v>0.25625360178550405</v>
      </c>
      <c r="I5" s="8">
        <v>0.96848385062439701</v>
      </c>
      <c r="J5" s="8">
        <v>0.90545918802107417</v>
      </c>
    </row>
    <row r="6" spans="1:10" x14ac:dyDescent="0.25">
      <c r="A6" s="3" t="s">
        <v>61</v>
      </c>
      <c r="B6" s="3"/>
      <c r="C6" s="3"/>
      <c r="D6" s="4" t="s">
        <v>64</v>
      </c>
      <c r="E6" s="13">
        <v>123.364620121055</v>
      </c>
      <c r="F6" s="37">
        <v>3.0419863412630708</v>
      </c>
      <c r="G6" s="8">
        <v>1.8787522836150532</v>
      </c>
      <c r="H6" s="40">
        <v>0.23425492099639969</v>
      </c>
      <c r="I6" s="8">
        <v>1.3201991828395438</v>
      </c>
      <c r="J6" s="8">
        <v>0.70269997505964232</v>
      </c>
    </row>
    <row r="7" spans="1:10" x14ac:dyDescent="0.25">
      <c r="A7" s="3" t="s">
        <v>61</v>
      </c>
      <c r="B7" s="3"/>
      <c r="C7" s="3"/>
      <c r="D7" s="4" t="s">
        <v>65</v>
      </c>
      <c r="E7" s="13">
        <v>154.00978020282301</v>
      </c>
      <c r="F7" s="37">
        <v>1.1596372060480735</v>
      </c>
      <c r="G7" s="8">
        <v>2.1897188114758541</v>
      </c>
      <c r="H7" s="40">
        <v>0.12080507885171611</v>
      </c>
      <c r="I7" s="8">
        <v>1.263482312325805</v>
      </c>
      <c r="J7" s="8">
        <v>0.57700664838981186</v>
      </c>
    </row>
    <row r="8" spans="1:10" x14ac:dyDescent="0.25">
      <c r="A8" s="3" t="s">
        <v>61</v>
      </c>
      <c r="B8" s="3"/>
      <c r="C8" s="3"/>
      <c r="D8" s="4" t="s">
        <v>66</v>
      </c>
      <c r="E8" s="13">
        <v>975.60394543595703</v>
      </c>
      <c r="F8" s="37">
        <v>3.1893806896919279</v>
      </c>
      <c r="G8" s="8">
        <v>1.2333207865120261</v>
      </c>
      <c r="H8" s="40">
        <v>0.24696544305402468</v>
      </c>
      <c r="I8" s="8">
        <v>1.1476004481288387</v>
      </c>
      <c r="J8" s="8">
        <v>0.9304963158647358</v>
      </c>
    </row>
    <row r="9" spans="1:10" x14ac:dyDescent="0.25">
      <c r="A9" s="3" t="s">
        <v>58</v>
      </c>
      <c r="B9" s="3"/>
      <c r="C9" s="3"/>
      <c r="D9" s="4" t="s">
        <v>67</v>
      </c>
      <c r="E9" s="13">
        <v>242.06014346828999</v>
      </c>
      <c r="F9" s="37">
        <v>0.89474516975360219</v>
      </c>
      <c r="G9" s="8">
        <v>2.6469794129739554</v>
      </c>
      <c r="H9" s="40">
        <v>0.10455039234984774</v>
      </c>
      <c r="I9" s="8">
        <v>1.8461857615039963</v>
      </c>
      <c r="J9" s="8">
        <v>0.69746887809367386</v>
      </c>
    </row>
    <row r="10" spans="1:10" x14ac:dyDescent="0.25">
      <c r="A10" s="3" t="s">
        <v>61</v>
      </c>
      <c r="B10" s="3"/>
      <c r="C10" s="3"/>
      <c r="D10" s="4" t="s">
        <v>68</v>
      </c>
      <c r="E10" s="13">
        <v>1123.6523731560501</v>
      </c>
      <c r="F10" s="37">
        <v>2.9317747808037264</v>
      </c>
      <c r="G10" s="8">
        <v>1.366039086747066</v>
      </c>
      <c r="H10" s="40">
        <v>0.23332166890760089</v>
      </c>
      <c r="I10" s="8">
        <v>1.292211811791502</v>
      </c>
      <c r="J10" s="8">
        <v>0.9459552250943507</v>
      </c>
    </row>
    <row r="11" spans="1:10" x14ac:dyDescent="0.25">
      <c r="A11" s="3" t="s">
        <v>58</v>
      </c>
      <c r="B11" s="3"/>
      <c r="C11" s="3"/>
      <c r="D11" s="21" t="s">
        <v>69</v>
      </c>
      <c r="E11" s="30">
        <v>318.81066447743001</v>
      </c>
      <c r="F11" s="38">
        <v>1.7490091094063025</v>
      </c>
      <c r="G11" s="25">
        <v>1.9682190576152814</v>
      </c>
      <c r="H11" s="41">
        <v>0.14941447376470696</v>
      </c>
      <c r="I11" s="25">
        <v>1.6493986517503387</v>
      </c>
      <c r="J11" s="25">
        <v>0.838015791671467</v>
      </c>
    </row>
    <row r="12" spans="1:10" x14ac:dyDescent="0.25">
      <c r="A12" s="3" t="s">
        <v>72</v>
      </c>
      <c r="B12" s="3" t="s">
        <v>142</v>
      </c>
      <c r="C12" s="3" t="s">
        <v>146</v>
      </c>
      <c r="D12" s="4" t="s">
        <v>71</v>
      </c>
      <c r="E12" s="13">
        <v>417.85395577096801</v>
      </c>
      <c r="F12" s="37">
        <v>0.75871566786544831</v>
      </c>
      <c r="G12" s="8">
        <v>2.3128727541349332</v>
      </c>
      <c r="H12" s="40">
        <v>9.3251777033942315E-2</v>
      </c>
      <c r="I12" s="8">
        <v>1.712654556932838</v>
      </c>
      <c r="J12" s="8">
        <v>0.74048801598400493</v>
      </c>
    </row>
    <row r="13" spans="1:10" x14ac:dyDescent="0.25">
      <c r="A13" s="3" t="s">
        <v>72</v>
      </c>
      <c r="B13" s="3" t="s">
        <v>142</v>
      </c>
      <c r="C13" s="3" t="s">
        <v>146</v>
      </c>
      <c r="D13" s="4" t="s">
        <v>73</v>
      </c>
      <c r="E13" s="13">
        <v>155.82360218685201</v>
      </c>
      <c r="F13" s="37">
        <v>0.54249072279897737</v>
      </c>
      <c r="G13" s="8">
        <v>4.8417341630658246</v>
      </c>
      <c r="H13" s="40">
        <v>7.268682959505858E-2</v>
      </c>
      <c r="I13" s="8">
        <v>1.2598447222112532</v>
      </c>
      <c r="J13" s="8">
        <v>0.26020526525841092</v>
      </c>
    </row>
    <row r="14" spans="1:10" x14ac:dyDescent="0.25">
      <c r="A14" s="3" t="s">
        <v>74</v>
      </c>
      <c r="B14" s="3" t="s">
        <v>142</v>
      </c>
      <c r="C14" s="3" t="s">
        <v>146</v>
      </c>
      <c r="D14" s="4" t="s">
        <v>75</v>
      </c>
      <c r="E14" s="13">
        <v>533.47765662866698</v>
      </c>
      <c r="F14" s="37">
        <v>0.76915571663441806</v>
      </c>
      <c r="G14" s="8">
        <v>1.9914559262138325</v>
      </c>
      <c r="H14" s="40">
        <v>9.4208125555186276E-2</v>
      </c>
      <c r="I14" s="8">
        <v>1.5864648509353807</v>
      </c>
      <c r="J14" s="8">
        <v>0.79663568249365013</v>
      </c>
    </row>
    <row r="15" spans="1:10" x14ac:dyDescent="0.25">
      <c r="A15" s="3" t="s">
        <v>74</v>
      </c>
      <c r="B15" s="3" t="s">
        <v>142</v>
      </c>
      <c r="C15" s="3" t="s">
        <v>146</v>
      </c>
      <c r="D15" s="4" t="s">
        <v>76</v>
      </c>
      <c r="E15" s="13">
        <v>525.82368846746795</v>
      </c>
      <c r="F15" s="37">
        <v>0.75642816084966236</v>
      </c>
      <c r="G15" s="8">
        <v>1.7411683144129144</v>
      </c>
      <c r="H15" s="40">
        <v>9.1885699045416741E-2</v>
      </c>
      <c r="I15" s="8">
        <v>1.2464507565602787</v>
      </c>
      <c r="J15" s="8">
        <v>0.71587034190922305</v>
      </c>
    </row>
    <row r="16" spans="1:10" x14ac:dyDescent="0.25">
      <c r="A16" s="3" t="s">
        <v>74</v>
      </c>
      <c r="B16" s="3" t="s">
        <v>142</v>
      </c>
      <c r="C16" s="3" t="s">
        <v>146</v>
      </c>
      <c r="D16" s="4" t="s">
        <v>77</v>
      </c>
      <c r="E16" s="13">
        <v>658.78280188081203</v>
      </c>
      <c r="F16" s="37">
        <v>0.75832747471466633</v>
      </c>
      <c r="G16" s="8">
        <v>1.4936829841247863</v>
      </c>
      <c r="H16" s="40">
        <v>9.416818920069224E-2</v>
      </c>
      <c r="I16" s="8">
        <v>0.98411980086972206</v>
      </c>
      <c r="J16" s="8">
        <v>0.65885453026457319</v>
      </c>
    </row>
    <row r="17" spans="1:10" x14ac:dyDescent="0.25">
      <c r="A17" s="3" t="s">
        <v>74</v>
      </c>
      <c r="B17" s="3" t="s">
        <v>142</v>
      </c>
      <c r="C17" s="3" t="s">
        <v>146</v>
      </c>
      <c r="D17" s="4" t="s">
        <v>79</v>
      </c>
      <c r="E17" s="13">
        <v>538.38144456196005</v>
      </c>
      <c r="F17" s="37">
        <v>0.77743868979072439</v>
      </c>
      <c r="G17" s="8">
        <v>1.8016899879394952</v>
      </c>
      <c r="H17" s="40">
        <v>9.3639554340217618E-2</v>
      </c>
      <c r="I17" s="8">
        <v>1.2756053310889484</v>
      </c>
      <c r="J17" s="8">
        <v>0.70800489519720089</v>
      </c>
    </row>
    <row r="18" spans="1:10" x14ac:dyDescent="0.25">
      <c r="A18" s="3" t="s">
        <v>70</v>
      </c>
      <c r="B18" s="3" t="s">
        <v>142</v>
      </c>
      <c r="C18" s="3" t="s">
        <v>143</v>
      </c>
      <c r="D18" s="4" t="s">
        <v>80</v>
      </c>
      <c r="E18" s="13">
        <v>574.32892074014899</v>
      </c>
      <c r="F18" s="37">
        <v>0.7553237042368709</v>
      </c>
      <c r="G18" s="8">
        <v>1.8802404791101681</v>
      </c>
      <c r="H18" s="40">
        <v>9.3553507074327705E-2</v>
      </c>
      <c r="I18" s="8">
        <v>1.4591390504548474</v>
      </c>
      <c r="J18" s="8">
        <v>0.77603852627691072</v>
      </c>
    </row>
    <row r="19" spans="1:10" x14ac:dyDescent="0.25">
      <c r="A19" s="3" t="s">
        <v>70</v>
      </c>
      <c r="B19" s="3" t="s">
        <v>142</v>
      </c>
      <c r="C19" s="3" t="s">
        <v>143</v>
      </c>
      <c r="D19" s="4" t="s">
        <v>81</v>
      </c>
      <c r="E19" s="13">
        <v>353.34779670289402</v>
      </c>
      <c r="F19" s="37">
        <v>0.76385529639657823</v>
      </c>
      <c r="G19" s="8">
        <v>2.5848772083912528</v>
      </c>
      <c r="H19" s="40">
        <v>8.9504670226414479E-2</v>
      </c>
      <c r="I19" s="8">
        <v>1.6188446157551255</v>
      </c>
      <c r="J19" s="8">
        <v>0.62627524839473669</v>
      </c>
    </row>
    <row r="20" spans="1:10" x14ac:dyDescent="0.25">
      <c r="A20" s="3" t="s">
        <v>74</v>
      </c>
      <c r="B20" s="3" t="s">
        <v>142</v>
      </c>
      <c r="C20" s="3" t="s">
        <v>146</v>
      </c>
      <c r="D20" s="4" t="s">
        <v>82</v>
      </c>
      <c r="E20" s="13">
        <v>616.96920863254797</v>
      </c>
      <c r="F20" s="37">
        <v>0.75975255553530419</v>
      </c>
      <c r="G20" s="8">
        <v>1.5003028390613224</v>
      </c>
      <c r="H20" s="40">
        <v>9.3723722917799859E-2</v>
      </c>
      <c r="I20" s="8">
        <v>0.99033236577135808</v>
      </c>
      <c r="J20" s="8">
        <v>0.66008831016474523</v>
      </c>
    </row>
    <row r="21" spans="1:10" x14ac:dyDescent="0.25">
      <c r="A21" s="3" t="s">
        <v>72</v>
      </c>
      <c r="B21" s="3" t="s">
        <v>142</v>
      </c>
      <c r="C21" s="3" t="s">
        <v>146</v>
      </c>
      <c r="D21" s="4" t="s">
        <v>83</v>
      </c>
      <c r="E21" s="13">
        <v>484.73915243210899</v>
      </c>
      <c r="F21" s="37">
        <v>0.76339381490435887</v>
      </c>
      <c r="G21" s="8">
        <v>2.1640673398133945</v>
      </c>
      <c r="H21" s="40">
        <v>9.4518848446828396E-2</v>
      </c>
      <c r="I21" s="8">
        <v>1.7723921499172164</v>
      </c>
      <c r="J21" s="8">
        <v>0.81900970330712908</v>
      </c>
    </row>
    <row r="22" spans="1:10" x14ac:dyDescent="0.25">
      <c r="A22" s="3" t="s">
        <v>74</v>
      </c>
      <c r="B22" s="3" t="s">
        <v>142</v>
      </c>
      <c r="C22" s="3" t="s">
        <v>146</v>
      </c>
      <c r="D22" s="4" t="s">
        <v>84</v>
      </c>
      <c r="E22" s="13">
        <v>514.05262001290998</v>
      </c>
      <c r="F22" s="37">
        <v>0.75987863132585576</v>
      </c>
      <c r="G22" s="8">
        <v>1.7648618777870713</v>
      </c>
      <c r="H22" s="40">
        <v>9.3540963241960581E-2</v>
      </c>
      <c r="I22" s="8">
        <v>1.2341466070553844</v>
      </c>
      <c r="J22" s="8">
        <v>0.69928792875443524</v>
      </c>
    </row>
    <row r="23" spans="1:10" x14ac:dyDescent="0.25">
      <c r="A23" s="3" t="s">
        <v>143</v>
      </c>
      <c r="B23" s="3" t="s">
        <v>142</v>
      </c>
      <c r="C23" s="3" t="s">
        <v>143</v>
      </c>
      <c r="D23" s="4" t="s">
        <v>85</v>
      </c>
      <c r="E23" s="13">
        <v>584.000436337868</v>
      </c>
      <c r="F23" s="37">
        <v>0.7602694590386333</v>
      </c>
      <c r="G23" s="8">
        <v>2.0195129729556704</v>
      </c>
      <c r="H23" s="40">
        <v>9.0922693774960053E-2</v>
      </c>
      <c r="I23" s="8">
        <v>1.6124781331489728</v>
      </c>
      <c r="J23" s="8">
        <v>0.79844900960899534</v>
      </c>
    </row>
    <row r="24" spans="1:10" x14ac:dyDescent="0.25">
      <c r="A24" s="3" t="s">
        <v>72</v>
      </c>
      <c r="B24" s="3" t="s">
        <v>142</v>
      </c>
      <c r="C24" s="3" t="s">
        <v>146</v>
      </c>
      <c r="D24" s="4" t="s">
        <v>86</v>
      </c>
      <c r="E24" s="13">
        <v>138.52761776065199</v>
      </c>
      <c r="F24" s="37">
        <v>0.69257002329662887</v>
      </c>
      <c r="G24" s="8">
        <v>3.3728071269258257</v>
      </c>
      <c r="H24" s="40">
        <v>8.2047056092339324E-2</v>
      </c>
      <c r="I24" s="8">
        <v>1.2783809904450008</v>
      </c>
      <c r="J24" s="8">
        <v>0.37902582102588006</v>
      </c>
    </row>
    <row r="25" spans="1:10" x14ac:dyDescent="0.25">
      <c r="A25" s="3" t="s">
        <v>144</v>
      </c>
      <c r="B25" s="3" t="s">
        <v>142</v>
      </c>
      <c r="C25" s="3" t="s">
        <v>146</v>
      </c>
      <c r="D25" s="4" t="s">
        <v>87</v>
      </c>
      <c r="E25" s="13">
        <v>535.68106195563905</v>
      </c>
      <c r="F25" s="37">
        <v>0.78668898729348713</v>
      </c>
      <c r="G25" s="8">
        <v>1.7162739151403341</v>
      </c>
      <c r="H25" s="40">
        <v>9.5480446790960988E-2</v>
      </c>
      <c r="I25" s="8">
        <v>1.2330928079470234</v>
      </c>
      <c r="J25" s="8">
        <v>0.71847086707380126</v>
      </c>
    </row>
    <row r="26" spans="1:10" x14ac:dyDescent="0.25">
      <c r="A26" s="3" t="s">
        <v>74</v>
      </c>
      <c r="B26" s="3" t="s">
        <v>142</v>
      </c>
      <c r="C26" s="3" t="s">
        <v>146</v>
      </c>
      <c r="D26" s="4" t="s">
        <v>88</v>
      </c>
      <c r="E26" s="13">
        <v>519.12487663846503</v>
      </c>
      <c r="F26" s="37">
        <v>0.74355090284015879</v>
      </c>
      <c r="G26" s="8">
        <v>2.1350724226634177</v>
      </c>
      <c r="H26" s="40">
        <v>9.392017093819896E-2</v>
      </c>
      <c r="I26" s="8">
        <v>1.5845706198932121</v>
      </c>
      <c r="J26" s="8">
        <v>0.74216246862320645</v>
      </c>
    </row>
    <row r="27" spans="1:10" x14ac:dyDescent="0.25">
      <c r="A27" s="3" t="s">
        <v>72</v>
      </c>
      <c r="B27" s="3" t="s">
        <v>142</v>
      </c>
      <c r="C27" s="3" t="s">
        <v>146</v>
      </c>
      <c r="D27" s="21" t="s">
        <v>89</v>
      </c>
      <c r="E27" s="30">
        <v>146.02074603832099</v>
      </c>
      <c r="F27" s="38">
        <v>0.46611349291026932</v>
      </c>
      <c r="G27" s="25">
        <v>4.8322543676242722</v>
      </c>
      <c r="H27" s="41">
        <v>5.7389276003633125E-2</v>
      </c>
      <c r="I27" s="25">
        <v>1.3101345803802069</v>
      </c>
      <c r="J27" s="25">
        <v>0.27112285089088162</v>
      </c>
    </row>
    <row r="28" spans="1:10" x14ac:dyDescent="0.25">
      <c r="A28" s="3" t="s">
        <v>72</v>
      </c>
      <c r="B28" s="3" t="s">
        <v>142</v>
      </c>
      <c r="C28" s="3" t="s">
        <v>146</v>
      </c>
      <c r="D28" s="4" t="s">
        <v>90</v>
      </c>
      <c r="E28" s="13">
        <v>87.476510328309601</v>
      </c>
      <c r="F28" s="37">
        <v>0.3494563877039476</v>
      </c>
      <c r="G28" s="8">
        <v>6.9485054864182123</v>
      </c>
      <c r="H28" s="40">
        <v>5.1320849822117681E-2</v>
      </c>
      <c r="I28" s="8">
        <v>2.6632027215894922</v>
      </c>
      <c r="J28" s="8">
        <v>0.3832770553027669</v>
      </c>
    </row>
    <row r="29" spans="1:10" x14ac:dyDescent="0.25">
      <c r="A29" s="3" t="s">
        <v>74</v>
      </c>
      <c r="B29" s="3" t="s">
        <v>142</v>
      </c>
      <c r="C29" s="3" t="s">
        <v>146</v>
      </c>
      <c r="D29" s="4" t="s">
        <v>91</v>
      </c>
      <c r="E29" s="13">
        <v>439.664442893196</v>
      </c>
      <c r="F29" s="37">
        <v>0.7452126352723395</v>
      </c>
      <c r="G29" s="8">
        <v>1.7335093481695976</v>
      </c>
      <c r="H29" s="40">
        <v>9.2475889698213826E-2</v>
      </c>
      <c r="I29" s="8">
        <v>1.0226526089031986</v>
      </c>
      <c r="J29" s="8">
        <v>0.58993198391633228</v>
      </c>
    </row>
    <row r="30" spans="1:10" x14ac:dyDescent="0.25">
      <c r="A30" s="3" t="s">
        <v>72</v>
      </c>
      <c r="B30" s="3" t="s">
        <v>142</v>
      </c>
      <c r="C30" s="3" t="s">
        <v>146</v>
      </c>
      <c r="D30" s="4" t="s">
        <v>92</v>
      </c>
      <c r="E30" s="13">
        <v>169.22525658337801</v>
      </c>
      <c r="F30" s="37">
        <v>0.65108348427113072</v>
      </c>
      <c r="G30" s="8">
        <v>4.4000656369520099</v>
      </c>
      <c r="H30" s="40">
        <v>8.033103629573124E-2</v>
      </c>
      <c r="I30" s="8">
        <v>2.4650264925859617</v>
      </c>
      <c r="J30" s="8">
        <v>0.56022493662015505</v>
      </c>
    </row>
    <row r="31" spans="1:10" x14ac:dyDescent="0.25">
      <c r="A31" s="3" t="s">
        <v>74</v>
      </c>
      <c r="B31" s="3" t="s">
        <v>142</v>
      </c>
      <c r="C31" s="3" t="s">
        <v>146</v>
      </c>
      <c r="D31" s="4" t="s">
        <v>93</v>
      </c>
      <c r="E31" s="13">
        <v>463.27395168698899</v>
      </c>
      <c r="F31" s="37">
        <v>0.77462940233626121</v>
      </c>
      <c r="G31" s="8">
        <v>1.6587242787608338</v>
      </c>
      <c r="H31" s="40">
        <v>9.5170080317685923E-2</v>
      </c>
      <c r="I31" s="8">
        <v>1.0601503452617107</v>
      </c>
      <c r="J31" s="8">
        <v>0.63913596661990524</v>
      </c>
    </row>
    <row r="32" spans="1:10" x14ac:dyDescent="0.25">
      <c r="A32" s="3" t="s">
        <v>74</v>
      </c>
      <c r="B32" s="3" t="s">
        <v>142</v>
      </c>
      <c r="C32" s="3" t="s">
        <v>146</v>
      </c>
      <c r="D32" s="4" t="s">
        <v>94</v>
      </c>
      <c r="E32" s="13">
        <v>478.00001027759299</v>
      </c>
      <c r="F32" s="37">
        <v>0.77791368235080727</v>
      </c>
      <c r="G32" s="8">
        <v>1.7508026296351906</v>
      </c>
      <c r="H32" s="40">
        <v>9.5698716862645347E-2</v>
      </c>
      <c r="I32" s="8">
        <v>1.0237767573825309</v>
      </c>
      <c r="J32" s="8">
        <v>0.58474709830419447</v>
      </c>
    </row>
    <row r="33" spans="1:10" x14ac:dyDescent="0.25">
      <c r="A33" s="3" t="s">
        <v>74</v>
      </c>
      <c r="B33" s="3" t="s">
        <v>142</v>
      </c>
      <c r="C33" s="3" t="s">
        <v>146</v>
      </c>
      <c r="D33" s="4" t="s">
        <v>95</v>
      </c>
      <c r="E33" s="13">
        <v>470.55615021166199</v>
      </c>
      <c r="F33" s="37">
        <v>0.76941093336194721</v>
      </c>
      <c r="G33" s="8">
        <v>6.0002772548782044</v>
      </c>
      <c r="H33" s="40">
        <v>9.130976070383838E-2</v>
      </c>
      <c r="I33" s="8">
        <v>3.880289764164814</v>
      </c>
      <c r="J33" s="8">
        <v>0.64668507792871599</v>
      </c>
    </row>
    <row r="34" spans="1:10" x14ac:dyDescent="0.25">
      <c r="A34" s="3" t="s">
        <v>70</v>
      </c>
      <c r="B34" s="3" t="s">
        <v>142</v>
      </c>
      <c r="C34" s="3"/>
      <c r="D34" s="4" t="s">
        <v>96</v>
      </c>
      <c r="E34" s="13">
        <v>195.814675365748</v>
      </c>
      <c r="F34" s="37">
        <v>0.72649175095403395</v>
      </c>
      <c r="G34" s="8">
        <v>3.4896798948625332</v>
      </c>
      <c r="H34" s="40">
        <v>8.7345030673094792E-2</v>
      </c>
      <c r="I34" s="8">
        <v>1.1697519430994558</v>
      </c>
      <c r="J34" s="8">
        <v>0.33520322159678634</v>
      </c>
    </row>
    <row r="35" spans="1:10" x14ac:dyDescent="0.25">
      <c r="A35" s="3" t="s">
        <v>74</v>
      </c>
      <c r="B35" s="3" t="s">
        <v>142</v>
      </c>
      <c r="C35" s="3" t="s">
        <v>146</v>
      </c>
      <c r="D35" s="4" t="s">
        <v>97</v>
      </c>
      <c r="E35" s="13">
        <v>530.87448577579801</v>
      </c>
      <c r="F35" s="37">
        <v>0.75684330861629301</v>
      </c>
      <c r="G35" s="8">
        <v>1.8924217621004049</v>
      </c>
      <c r="H35" s="40">
        <v>9.5288810194900986E-2</v>
      </c>
      <c r="I35" s="8">
        <v>1.0461296973806091</v>
      </c>
      <c r="J35" s="8">
        <v>0.55279944372416567</v>
      </c>
    </row>
    <row r="36" spans="1:10" x14ac:dyDescent="0.25">
      <c r="A36" s="3" t="s">
        <v>74</v>
      </c>
      <c r="B36" s="3" t="s">
        <v>142</v>
      </c>
      <c r="C36" s="3" t="s">
        <v>146</v>
      </c>
      <c r="D36" s="4" t="s">
        <v>98</v>
      </c>
      <c r="E36" s="13">
        <v>543.83575341451206</v>
      </c>
      <c r="F36" s="37">
        <v>0.76092563241430555</v>
      </c>
      <c r="G36" s="8">
        <v>1.5992638418421448</v>
      </c>
      <c r="H36" s="40">
        <v>9.5583669271611396E-2</v>
      </c>
      <c r="I36" s="8">
        <v>1.0384076195838365</v>
      </c>
      <c r="J36" s="8">
        <v>0.64930350603545539</v>
      </c>
    </row>
    <row r="37" spans="1:10" x14ac:dyDescent="0.25">
      <c r="A37" s="3" t="s">
        <v>78</v>
      </c>
      <c r="B37" s="3" t="s">
        <v>142</v>
      </c>
      <c r="C37" s="3" t="s">
        <v>142</v>
      </c>
      <c r="D37" s="4" t="s">
        <v>99</v>
      </c>
      <c r="E37" s="13">
        <v>68.560353943933706</v>
      </c>
      <c r="F37" s="37">
        <v>0.7126373284015417</v>
      </c>
      <c r="G37" s="8">
        <v>4.5903828619184726</v>
      </c>
      <c r="H37" s="40">
        <v>9.4075915405395255E-2</v>
      </c>
      <c r="I37" s="8">
        <v>2.957333968551104</v>
      </c>
      <c r="J37" s="8">
        <v>0.64424560162180822</v>
      </c>
    </row>
    <row r="38" spans="1:10" x14ac:dyDescent="0.25">
      <c r="A38" s="3" t="s">
        <v>74</v>
      </c>
      <c r="B38" s="3" t="s">
        <v>142</v>
      </c>
      <c r="C38" s="3" t="s">
        <v>146</v>
      </c>
      <c r="D38" s="4" t="s">
        <v>100</v>
      </c>
      <c r="E38" s="13">
        <v>220.306846752902</v>
      </c>
      <c r="F38" s="37">
        <v>0.74837366764304991</v>
      </c>
      <c r="G38" s="8">
        <v>2.3732550899071283</v>
      </c>
      <c r="H38" s="40">
        <v>9.2656919732507323E-2</v>
      </c>
      <c r="I38" s="8">
        <v>1.1472524173430139</v>
      </c>
      <c r="J38" s="8">
        <v>0.48340880936988062</v>
      </c>
    </row>
    <row r="39" spans="1:10" x14ac:dyDescent="0.25">
      <c r="A39" s="3" t="s">
        <v>78</v>
      </c>
      <c r="B39" s="3" t="s">
        <v>142</v>
      </c>
      <c r="C39" s="3" t="s">
        <v>142</v>
      </c>
      <c r="D39" s="4" t="s">
        <v>101</v>
      </c>
      <c r="E39" s="13">
        <v>30.216728627695101</v>
      </c>
      <c r="F39" s="37">
        <v>0.88468307706767535</v>
      </c>
      <c r="G39" s="8">
        <v>9.7571960704725917</v>
      </c>
      <c r="H39" s="40">
        <v>9.3710855406049245E-2</v>
      </c>
      <c r="I39" s="8">
        <v>2.2371346594131931</v>
      </c>
      <c r="J39" s="8">
        <v>0.22928048624371214</v>
      </c>
    </row>
    <row r="40" spans="1:10" x14ac:dyDescent="0.25">
      <c r="A40" s="3" t="s">
        <v>78</v>
      </c>
      <c r="B40" s="3" t="s">
        <v>142</v>
      </c>
      <c r="C40" s="3" t="s">
        <v>142</v>
      </c>
      <c r="D40" s="4" t="s">
        <v>102</v>
      </c>
      <c r="E40" s="13">
        <v>37.009912759698203</v>
      </c>
      <c r="F40" s="37">
        <v>0.72235546283748664</v>
      </c>
      <c r="G40" s="8">
        <v>9.4746191881904558</v>
      </c>
      <c r="H40" s="40">
        <v>9.0492190464389652E-2</v>
      </c>
      <c r="I40" s="8">
        <v>2.0600361564406242</v>
      </c>
      <c r="J40" s="8">
        <v>0.21742680265274783</v>
      </c>
    </row>
    <row r="41" spans="1:10" x14ac:dyDescent="0.25">
      <c r="A41" s="3" t="s">
        <v>78</v>
      </c>
      <c r="B41" s="3" t="s">
        <v>142</v>
      </c>
      <c r="C41" s="3" t="s">
        <v>142</v>
      </c>
      <c r="D41" s="4" t="s">
        <v>103</v>
      </c>
      <c r="E41" s="13">
        <v>34.593360654336998</v>
      </c>
      <c r="F41" s="37">
        <v>0.74576205637139514</v>
      </c>
      <c r="G41" s="8">
        <v>5.3793428422374499</v>
      </c>
      <c r="H41" s="40">
        <v>9.3627293901593828E-2</v>
      </c>
      <c r="I41" s="8">
        <v>2.0524992574531584</v>
      </c>
      <c r="J41" s="8">
        <v>0.38155204411538396</v>
      </c>
    </row>
    <row r="42" spans="1:10" x14ac:dyDescent="0.25">
      <c r="A42" s="3" t="s">
        <v>70</v>
      </c>
      <c r="B42" s="3" t="s">
        <v>142</v>
      </c>
      <c r="C42" s="3" t="s">
        <v>146</v>
      </c>
      <c r="D42" s="4" t="s">
        <v>104</v>
      </c>
      <c r="E42" s="13">
        <v>400.203100326531</v>
      </c>
      <c r="F42" s="37">
        <v>0.76188330758606804</v>
      </c>
      <c r="G42" s="8">
        <v>1.9670457799676127</v>
      </c>
      <c r="H42" s="40">
        <v>9.3254686050303195E-2</v>
      </c>
      <c r="I42" s="8">
        <v>1.0844042598810528</v>
      </c>
      <c r="J42" s="8">
        <v>0.55128572548977861</v>
      </c>
    </row>
    <row r="43" spans="1:10" x14ac:dyDescent="0.25">
      <c r="A43" s="3" t="s">
        <v>70</v>
      </c>
      <c r="B43" s="3" t="s">
        <v>142</v>
      </c>
      <c r="C43" s="3" t="s">
        <v>146</v>
      </c>
      <c r="D43" s="4" t="s">
        <v>105</v>
      </c>
      <c r="E43" s="13">
        <v>342.27537230526099</v>
      </c>
      <c r="F43" s="37">
        <v>0.7235519770778186</v>
      </c>
      <c r="G43" s="8">
        <v>6.6480628932914136</v>
      </c>
      <c r="H43" s="40">
        <v>8.7245699394531112E-2</v>
      </c>
      <c r="I43" s="8">
        <v>5.1671176272629928</v>
      </c>
      <c r="J43" s="8">
        <v>0.77723657405184166</v>
      </c>
    </row>
    <row r="44" spans="1:10" x14ac:dyDescent="0.25">
      <c r="A44" s="3" t="s">
        <v>74</v>
      </c>
      <c r="B44" s="3" t="s">
        <v>142</v>
      </c>
      <c r="C44" s="3" t="s">
        <v>146</v>
      </c>
      <c r="D44" s="21" t="s">
        <v>106</v>
      </c>
      <c r="E44" s="30">
        <v>454.40229381341601</v>
      </c>
      <c r="F44" s="38">
        <v>0.76152949262200686</v>
      </c>
      <c r="G44" s="25">
        <v>2.0283105894437599</v>
      </c>
      <c r="H44" s="41">
        <v>9.4187026786935218E-2</v>
      </c>
      <c r="I44" s="25">
        <v>1.3957251666509782</v>
      </c>
      <c r="J44" s="25">
        <v>0.68812201342090284</v>
      </c>
    </row>
    <row r="45" spans="1:10" x14ac:dyDescent="0.25">
      <c r="A45" s="3" t="s">
        <v>74</v>
      </c>
      <c r="B45" s="3" t="s">
        <v>142</v>
      </c>
      <c r="C45" s="3" t="s">
        <v>146</v>
      </c>
      <c r="D45" s="4" t="s">
        <v>107</v>
      </c>
      <c r="E45" s="13">
        <v>488.00410365863303</v>
      </c>
      <c r="F45" s="37">
        <v>0.7605665222998429</v>
      </c>
      <c r="G45" s="8">
        <v>1.6791357471361044</v>
      </c>
      <c r="H45" s="40">
        <v>9.45355543551189E-2</v>
      </c>
      <c r="I45" s="8">
        <v>1.0158377926139228</v>
      </c>
      <c r="J45" s="8">
        <v>0.60497657461376342</v>
      </c>
    </row>
    <row r="46" spans="1:10" x14ac:dyDescent="0.25">
      <c r="A46" s="3" t="s">
        <v>72</v>
      </c>
      <c r="B46" s="3" t="s">
        <v>142</v>
      </c>
      <c r="C46" s="3" t="s">
        <v>146</v>
      </c>
      <c r="D46" s="4" t="s">
        <v>108</v>
      </c>
      <c r="E46" s="13">
        <v>193.41110808152399</v>
      </c>
      <c r="F46" s="37">
        <v>0.5913590155679721</v>
      </c>
      <c r="G46" s="8">
        <v>5.0979083720438725</v>
      </c>
      <c r="H46" s="40">
        <v>7.817728644571291E-2</v>
      </c>
      <c r="I46" s="8">
        <v>1.2732235159719034</v>
      </c>
      <c r="J46" s="8">
        <v>0.24975409973118798</v>
      </c>
    </row>
    <row r="47" spans="1:10" x14ac:dyDescent="0.25">
      <c r="A47" s="3" t="s">
        <v>72</v>
      </c>
      <c r="B47" s="3" t="s">
        <v>142</v>
      </c>
      <c r="C47" s="3" t="s">
        <v>146</v>
      </c>
      <c r="D47" s="4" t="s">
        <v>109</v>
      </c>
      <c r="E47" s="13">
        <v>151.50040570836501</v>
      </c>
      <c r="F47" s="37">
        <v>0.53189075389939089</v>
      </c>
      <c r="G47" s="8">
        <v>5.5855159331361435</v>
      </c>
      <c r="H47" s="40">
        <v>7.1803824346258843E-2</v>
      </c>
      <c r="I47" s="8">
        <v>1.2726467549919636</v>
      </c>
      <c r="J47" s="8">
        <v>0.22784766353309829</v>
      </c>
    </row>
    <row r="48" spans="1:10" x14ac:dyDescent="0.25">
      <c r="A48" s="3" t="s">
        <v>74</v>
      </c>
      <c r="B48" s="3" t="s">
        <v>142</v>
      </c>
      <c r="C48" s="3" t="s">
        <v>149</v>
      </c>
      <c r="D48" s="4" t="s">
        <v>110</v>
      </c>
      <c r="E48" s="13">
        <v>512.94821346893002</v>
      </c>
      <c r="F48" s="37">
        <v>0.7583270069160799</v>
      </c>
      <c r="G48" s="8">
        <v>1.8102036557016672</v>
      </c>
      <c r="H48" s="40">
        <v>9.227213003697772E-2</v>
      </c>
      <c r="I48" s="8">
        <v>1.2276542981717404</v>
      </c>
      <c r="J48" s="8">
        <v>0.67818573578997654</v>
      </c>
    </row>
    <row r="49" spans="1:10" x14ac:dyDescent="0.25">
      <c r="A49" s="3" t="s">
        <v>74</v>
      </c>
      <c r="B49" s="3" t="s">
        <v>142</v>
      </c>
      <c r="C49" s="3" t="s">
        <v>142</v>
      </c>
      <c r="D49" s="4" t="s">
        <v>111</v>
      </c>
      <c r="E49" s="13">
        <v>466.81946063588703</v>
      </c>
      <c r="F49" s="37">
        <v>0.75086825314402461</v>
      </c>
      <c r="G49" s="8">
        <v>2.7173932951126822</v>
      </c>
      <c r="H49" s="40">
        <v>8.8371058762870436E-2</v>
      </c>
      <c r="I49" s="8">
        <v>2.2161100285025332</v>
      </c>
      <c r="J49" s="8">
        <v>0.81552789303200135</v>
      </c>
    </row>
    <row r="50" spans="1:10" x14ac:dyDescent="0.25">
      <c r="A50" s="3" t="s">
        <v>72</v>
      </c>
      <c r="B50" s="3" t="s">
        <v>142</v>
      </c>
      <c r="C50" s="3" t="s">
        <v>146</v>
      </c>
      <c r="D50" s="4" t="s">
        <v>112</v>
      </c>
      <c r="E50" s="13">
        <v>211.77134974004099</v>
      </c>
      <c r="F50" s="37">
        <v>0.59697121974846734</v>
      </c>
      <c r="G50" s="8">
        <v>3.8201024930431431</v>
      </c>
      <c r="H50" s="40">
        <v>7.65982752597196E-2</v>
      </c>
      <c r="I50" s="8">
        <v>1.1661750242858884</v>
      </c>
      <c r="J50" s="8">
        <v>0.30527322929414341</v>
      </c>
    </row>
    <row r="51" spans="1:10" x14ac:dyDescent="0.25">
      <c r="A51" s="3" t="s">
        <v>72</v>
      </c>
      <c r="B51" s="3" t="s">
        <v>142</v>
      </c>
      <c r="C51" s="3" t="s">
        <v>146</v>
      </c>
      <c r="D51" s="4" t="s">
        <v>113</v>
      </c>
      <c r="E51" s="13">
        <v>646.87574063556804</v>
      </c>
      <c r="F51" s="37">
        <v>0.72049713953922268</v>
      </c>
      <c r="G51" s="8">
        <v>1.703580657412548</v>
      </c>
      <c r="H51" s="40">
        <v>8.9850742476456344E-2</v>
      </c>
      <c r="I51" s="8">
        <v>1.0268459271293009</v>
      </c>
      <c r="J51" s="8">
        <v>0.60275744659422636</v>
      </c>
    </row>
    <row r="52" spans="1:10" x14ac:dyDescent="0.25">
      <c r="A52" s="3" t="s">
        <v>78</v>
      </c>
      <c r="B52" s="3" t="s">
        <v>142</v>
      </c>
      <c r="C52" s="3" t="s">
        <v>142</v>
      </c>
      <c r="D52" s="4" t="s">
        <v>114</v>
      </c>
      <c r="E52" s="13">
        <v>195.82869034139199</v>
      </c>
      <c r="F52" s="37">
        <v>0.78883543459419503</v>
      </c>
      <c r="G52" s="8">
        <v>2.8130715490113523</v>
      </c>
      <c r="H52" s="40">
        <v>9.2055114167773316E-2</v>
      </c>
      <c r="I52" s="8">
        <v>1.9967550693503815</v>
      </c>
      <c r="J52" s="8">
        <v>0.70981311159758331</v>
      </c>
    </row>
    <row r="53" spans="1:10" x14ac:dyDescent="0.25">
      <c r="A53" s="3" t="s">
        <v>78</v>
      </c>
      <c r="B53" s="3" t="s">
        <v>142</v>
      </c>
      <c r="C53" s="3" t="s">
        <v>142</v>
      </c>
      <c r="D53" s="4" t="s">
        <v>115</v>
      </c>
      <c r="E53" s="13">
        <v>203.493456182964</v>
      </c>
      <c r="F53" s="37">
        <v>0.73122602198614106</v>
      </c>
      <c r="G53" s="8">
        <v>2.9578393702055163</v>
      </c>
      <c r="H53" s="40">
        <v>9.1540804013678895E-2</v>
      </c>
      <c r="I53" s="8">
        <v>1.1753431816449271</v>
      </c>
      <c r="J53" s="8">
        <v>0.39736545313590238</v>
      </c>
    </row>
    <row r="54" spans="1:10" x14ac:dyDescent="0.25">
      <c r="A54" s="3" t="s">
        <v>74</v>
      </c>
      <c r="B54" s="3" t="s">
        <v>142</v>
      </c>
      <c r="C54" s="3" t="s">
        <v>146</v>
      </c>
      <c r="D54" s="4" t="s">
        <v>116</v>
      </c>
      <c r="E54" s="13">
        <v>524.05591022537499</v>
      </c>
      <c r="F54" s="37">
        <v>0.75888136890525582</v>
      </c>
      <c r="G54" s="8">
        <v>1.5930442256010349</v>
      </c>
      <c r="H54" s="40">
        <v>9.3701175748192714E-2</v>
      </c>
      <c r="I54" s="8">
        <v>1.0080608655237415</v>
      </c>
      <c r="J54" s="8">
        <v>0.63278900191450316</v>
      </c>
    </row>
    <row r="55" spans="1:10" x14ac:dyDescent="0.25">
      <c r="A55" s="3" t="s">
        <v>72</v>
      </c>
      <c r="B55" s="3" t="s">
        <v>142</v>
      </c>
      <c r="C55" s="3" t="s">
        <v>146</v>
      </c>
      <c r="D55" s="21" t="s">
        <v>117</v>
      </c>
      <c r="E55" s="30">
        <v>190.06920356025199</v>
      </c>
      <c r="F55" s="38">
        <v>0.64225773513177531</v>
      </c>
      <c r="G55" s="25">
        <v>3.8955692521898651</v>
      </c>
      <c r="H55" s="41">
        <v>8.009259728932179E-2</v>
      </c>
      <c r="I55" s="25">
        <v>1.2056767424282382</v>
      </c>
      <c r="J55" s="25">
        <v>0.30949950170966056</v>
      </c>
    </row>
  </sheetData>
  <conditionalFormatting sqref="E2:J55">
    <cfRule type="expression" dxfId="10" priority="1" stopIfTrue="1">
      <formula>ISERROR(E2)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3CFA-5725-4556-AC13-6FC29ACC7C89}">
  <dimension ref="A1:AI36"/>
  <sheetViews>
    <sheetView workbookViewId="0">
      <selection activeCell="J27" sqref="J27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5.85546875" bestFit="1" customWidth="1"/>
    <col min="4" max="5" width="7.140625" bestFit="1" customWidth="1"/>
    <col min="6" max="6" width="6.140625" bestFit="1" customWidth="1"/>
    <col min="7" max="7" width="6.28515625" bestFit="1" customWidth="1"/>
    <col min="8" max="8" width="27.85546875" bestFit="1" customWidth="1"/>
    <col min="9" max="9" width="15" bestFit="1" customWidth="1"/>
    <col min="10" max="10" width="16.140625" bestFit="1" customWidth="1"/>
    <col min="11" max="11" width="15" bestFit="1" customWidth="1"/>
    <col min="12" max="12" width="17" bestFit="1" customWidth="1"/>
    <col min="13" max="13" width="25.5703125" bestFit="1" customWidth="1"/>
    <col min="14" max="14" width="28.7109375" bestFit="1" customWidth="1"/>
    <col min="15" max="15" width="24.42578125" bestFit="1" customWidth="1"/>
    <col min="16" max="16" width="27.7109375" bestFit="1" customWidth="1"/>
    <col min="17" max="17" width="19" bestFit="1" customWidth="1"/>
    <col min="18" max="18" width="8.85546875" bestFit="1" customWidth="1"/>
    <col min="19" max="19" width="8" bestFit="1" customWidth="1"/>
  </cols>
  <sheetData>
    <row r="1" spans="1:35" ht="29.25" customHeight="1" x14ac:dyDescent="0.25">
      <c r="AA1" t="s">
        <v>122</v>
      </c>
      <c r="AB1" s="52" t="s">
        <v>123</v>
      </c>
      <c r="AC1" s="52" t="s">
        <v>124</v>
      </c>
      <c r="AD1" s="52" t="s">
        <v>125</v>
      </c>
      <c r="AE1" s="52" t="s">
        <v>126</v>
      </c>
      <c r="AF1" s="52" t="s">
        <v>132</v>
      </c>
      <c r="AG1" s="52" t="s">
        <v>133</v>
      </c>
      <c r="AH1" s="52" t="s">
        <v>129</v>
      </c>
      <c r="AI1" t="s">
        <v>131</v>
      </c>
    </row>
    <row r="2" spans="1:35" x14ac:dyDescent="0.25">
      <c r="AA2" t="s">
        <v>70</v>
      </c>
      <c r="AB2" s="50">
        <v>-6.0364480389508701</v>
      </c>
      <c r="AC2" s="50">
        <v>18.2244521700954</v>
      </c>
      <c r="AD2" s="50">
        <v>372.54179042296261</v>
      </c>
      <c r="AE2" s="50">
        <v>324.80147175751716</v>
      </c>
      <c r="AF2" s="50">
        <v>575.72239860281047</v>
      </c>
      <c r="AG2" s="50">
        <v>551.95742350416083</v>
      </c>
      <c r="AH2" s="50">
        <v>9.8653740185634595E-2</v>
      </c>
      <c r="AI2">
        <v>8</v>
      </c>
    </row>
    <row r="3" spans="1:35" ht="60" x14ac:dyDescent="0.25">
      <c r="A3" s="43" t="s">
        <v>122</v>
      </c>
      <c r="B3" t="s">
        <v>148</v>
      </c>
      <c r="C3" t="s">
        <v>147</v>
      </c>
      <c r="D3" t="s">
        <v>153</v>
      </c>
      <c r="E3" t="s">
        <v>152</v>
      </c>
      <c r="F3" t="s">
        <v>140</v>
      </c>
      <c r="G3" t="s">
        <v>138</v>
      </c>
      <c r="H3" t="s">
        <v>139</v>
      </c>
      <c r="I3" s="52" t="s">
        <v>125</v>
      </c>
      <c r="J3" t="s">
        <v>134</v>
      </c>
      <c r="K3" s="52" t="s">
        <v>126</v>
      </c>
      <c r="L3" t="s">
        <v>135</v>
      </c>
      <c r="M3" s="52" t="s">
        <v>127</v>
      </c>
      <c r="N3" t="s">
        <v>137</v>
      </c>
      <c r="O3" s="52" t="s">
        <v>128</v>
      </c>
      <c r="P3" t="s">
        <v>136</v>
      </c>
      <c r="Q3" s="52" t="s">
        <v>129</v>
      </c>
      <c r="R3" s="52" t="s">
        <v>130</v>
      </c>
      <c r="AA3" t="s">
        <v>78</v>
      </c>
      <c r="AB3" s="50">
        <v>-43.703647676597797</v>
      </c>
      <c r="AC3" s="50">
        <v>36.076396296670097</v>
      </c>
      <c r="AD3" s="50">
        <v>158.29770672456857</v>
      </c>
      <c r="AE3" s="50">
        <v>91.97682830468986</v>
      </c>
      <c r="AF3" s="50">
        <v>592.91365111201173</v>
      </c>
      <c r="AG3" s="50">
        <v>571.6849299581479</v>
      </c>
      <c r="AH3" s="50">
        <v>5.5657522961826258E-2</v>
      </c>
      <c r="AI3">
        <v>7</v>
      </c>
    </row>
    <row r="4" spans="1:35" x14ac:dyDescent="0.25">
      <c r="A4" s="44" t="s">
        <v>70</v>
      </c>
      <c r="B4" s="49">
        <v>0.75400921179764147</v>
      </c>
      <c r="C4" s="59">
        <v>9.1043819140656054E-2</v>
      </c>
      <c r="D4" s="60">
        <v>17.467436687635924</v>
      </c>
      <c r="E4" s="60">
        <v>-4.8888628935766434</v>
      </c>
      <c r="F4" s="58">
        <v>5.970177220220068E-2</v>
      </c>
      <c r="G4" s="42">
        <v>33.570484539439413</v>
      </c>
      <c r="H4" s="50">
        <v>9.0044729897546549</v>
      </c>
      <c r="I4" s="42">
        <v>426.5216233905843</v>
      </c>
      <c r="J4" s="42">
        <v>144.29862378771168</v>
      </c>
      <c r="K4" s="42">
        <v>354.60638868633185</v>
      </c>
      <c r="L4" s="42">
        <v>158.03120435375246</v>
      </c>
      <c r="M4" s="50">
        <v>605.19448527854422</v>
      </c>
      <c r="N4" s="50">
        <v>38.193433451410002</v>
      </c>
      <c r="O4" s="51">
        <v>561.68372900141389</v>
      </c>
      <c r="P4" s="47">
        <v>18.894306938947523</v>
      </c>
      <c r="Q4" s="48">
        <v>0.10319065420737099</v>
      </c>
      <c r="R4" s="60">
        <v>7</v>
      </c>
      <c r="AA4" t="s">
        <v>74</v>
      </c>
      <c r="AB4" s="50">
        <v>-14.8663646072698</v>
      </c>
      <c r="AC4" s="50">
        <v>18.046094080598198</v>
      </c>
      <c r="AD4" s="50">
        <v>510.83474828594473</v>
      </c>
      <c r="AE4" s="50">
        <v>409.64763534631953</v>
      </c>
      <c r="AF4" s="50">
        <v>566.41209852789393</v>
      </c>
      <c r="AG4" s="50">
        <v>574.91646751942574</v>
      </c>
      <c r="AH4" s="50">
        <v>-5.3219832027326178E-3</v>
      </c>
      <c r="AI4">
        <v>21</v>
      </c>
    </row>
    <row r="5" spans="1:35" x14ac:dyDescent="0.25">
      <c r="A5" s="44" t="s">
        <v>78</v>
      </c>
      <c r="B5" s="49">
        <v>0.76424989687640588</v>
      </c>
      <c r="C5" s="59">
        <v>9.2583695559813384E-2</v>
      </c>
      <c r="D5" s="60">
        <v>34.519947368475457</v>
      </c>
      <c r="E5" s="60">
        <v>-41.788233402692924</v>
      </c>
      <c r="F5" s="58">
        <v>5.9554479059412892E-2</v>
      </c>
      <c r="G5" s="42">
        <v>7.5150442869720706</v>
      </c>
      <c r="H5" s="50">
        <v>0.8411301645825926</v>
      </c>
      <c r="I5" s="42">
        <v>94.950417085003323</v>
      </c>
      <c r="J5" s="42">
        <v>82.273907781428349</v>
      </c>
      <c r="K5" s="42">
        <v>33.977832038519175</v>
      </c>
      <c r="L5" s="42">
        <v>29.205559789303265</v>
      </c>
      <c r="M5" s="50">
        <v>590.00901299276586</v>
      </c>
      <c r="N5" s="50">
        <v>166.75102295184737</v>
      </c>
      <c r="O5" s="51">
        <v>570.79473394173726</v>
      </c>
      <c r="P5" s="47">
        <v>8.4814179913558974</v>
      </c>
      <c r="Q5" s="48">
        <v>5.4191146385669277E-2</v>
      </c>
      <c r="R5" s="60">
        <v>6</v>
      </c>
      <c r="AA5" t="s">
        <v>72</v>
      </c>
      <c r="AB5" s="50">
        <v>-95</v>
      </c>
      <c r="AC5" s="50">
        <v>36</v>
      </c>
      <c r="AD5" s="50">
        <v>165.5509259101365</v>
      </c>
      <c r="AE5" s="50">
        <v>143.27442565512993</v>
      </c>
      <c r="AF5" s="50">
        <v>450.8</v>
      </c>
      <c r="AG5" s="50">
        <v>422.95053789269014</v>
      </c>
      <c r="AH5" s="50">
        <v>0.67334649120627255</v>
      </c>
      <c r="AI5">
        <v>8</v>
      </c>
    </row>
    <row r="6" spans="1:35" x14ac:dyDescent="0.25">
      <c r="A6" s="44" t="s">
        <v>74</v>
      </c>
      <c r="B6" s="49">
        <v>0.76042179145121069</v>
      </c>
      <c r="C6" s="59">
        <v>9.34914325111037E-2</v>
      </c>
      <c r="D6" s="60">
        <v>17.305286110338415</v>
      </c>
      <c r="E6" s="60">
        <v>-14.217442340837522</v>
      </c>
      <c r="F6" s="58">
        <v>5.9179718365974215E-2</v>
      </c>
      <c r="G6" s="42">
        <v>40.19663292311354</v>
      </c>
      <c r="H6" s="50">
        <v>10.402900222849073</v>
      </c>
      <c r="I6" s="42">
        <v>499.96599577040644</v>
      </c>
      <c r="J6" s="42">
        <v>86.355619160344858</v>
      </c>
      <c r="K6" s="42">
        <v>399.99294650461837</v>
      </c>
      <c r="L6" s="42">
        <v>124.88842677933776</v>
      </c>
      <c r="M6" s="50">
        <v>565.82971539166613</v>
      </c>
      <c r="N6" s="50">
        <v>39.729759395388051</v>
      </c>
      <c r="O6" s="51">
        <v>576.14514658303506</v>
      </c>
      <c r="P6" s="47">
        <v>10.307848385249878</v>
      </c>
      <c r="Q6" s="48">
        <v>-1.2100107215284766E-2</v>
      </c>
      <c r="R6" s="60">
        <v>19</v>
      </c>
      <c r="AA6" t="s">
        <v>61</v>
      </c>
      <c r="AB6" s="50">
        <v>2.5951943905933099</v>
      </c>
      <c r="AC6" s="50">
        <v>39.0170459257129</v>
      </c>
      <c r="AD6" s="50">
        <v>691.57938275712775</v>
      </c>
      <c r="AE6" s="50">
        <v>438.72122311869902</v>
      </c>
      <c r="AF6" s="50">
        <v>1455.2360010803702</v>
      </c>
      <c r="AG6" s="50">
        <v>1254.4853322438883</v>
      </c>
      <c r="AH6" s="50">
        <v>1.1838579297093321</v>
      </c>
      <c r="AI6">
        <v>6</v>
      </c>
    </row>
    <row r="7" spans="1:35" x14ac:dyDescent="0.25">
      <c r="A7" s="44" t="s">
        <v>72</v>
      </c>
      <c r="B7" s="49">
        <v>0.60889995480313253</v>
      </c>
      <c r="C7" s="59">
        <v>7.7339033258926673E-2</v>
      </c>
      <c r="D7" s="60">
        <v>36.064636267982287</v>
      </c>
      <c r="E7" s="60">
        <v>-95.395817722532001</v>
      </c>
      <c r="F7" s="58">
        <v>5.9700231780693398E-2</v>
      </c>
      <c r="G7" s="42">
        <v>17.864667292367702</v>
      </c>
      <c r="H7" s="50">
        <v>5.3284992347624707</v>
      </c>
      <c r="I7" s="42">
        <v>249.4412207355283</v>
      </c>
      <c r="J7" s="42">
        <v>171.56685543007507</v>
      </c>
      <c r="K7" s="42">
        <v>214.83297502615042</v>
      </c>
      <c r="L7" s="42">
        <v>151.82883818559233</v>
      </c>
      <c r="M7" s="50">
        <v>477.48584655642327</v>
      </c>
      <c r="N7" s="50">
        <v>131.18354913680767</v>
      </c>
      <c r="O7" s="51">
        <v>479.78468859253343</v>
      </c>
      <c r="P7" s="47">
        <v>78.354624511594679</v>
      </c>
      <c r="Q7" s="48">
        <v>0.36202509568506086</v>
      </c>
      <c r="R7" s="60">
        <v>12</v>
      </c>
      <c r="AA7" t="s">
        <v>58</v>
      </c>
      <c r="AB7" s="50">
        <v>8.8793874303505493E-2</v>
      </c>
      <c r="AC7" s="50">
        <v>33.822776326205997</v>
      </c>
      <c r="AD7" s="50">
        <v>514.65175466323831</v>
      </c>
      <c r="AE7" s="50">
        <v>380.78930418455923</v>
      </c>
      <c r="AF7" s="50">
        <v>1029.8120923774795</v>
      </c>
      <c r="AG7" s="50">
        <v>857.35376395539481</v>
      </c>
      <c r="AH7" s="50">
        <v>1.0005896474106959</v>
      </c>
      <c r="AI7">
        <v>4</v>
      </c>
    </row>
    <row r="8" spans="1:35" x14ac:dyDescent="0.25">
      <c r="A8" s="44" t="s">
        <v>61</v>
      </c>
      <c r="B8" s="49">
        <v>2.8004360236398393</v>
      </c>
      <c r="C8" s="59">
        <v>0.21571086710550169</v>
      </c>
      <c r="D8" s="60">
        <v>35.684630936872964</v>
      </c>
      <c r="E8" s="60">
        <v>2.3206910299307424</v>
      </c>
      <c r="F8" s="58">
        <v>9.2661241893353855E-2</v>
      </c>
      <c r="G8" s="42">
        <v>135.92189954750179</v>
      </c>
      <c r="H8" s="50">
        <v>24.534432401807109</v>
      </c>
      <c r="I8" s="42">
        <v>691.57938275712775</v>
      </c>
      <c r="J8" s="42">
        <v>438.1472772908499</v>
      </c>
      <c r="K8" s="42">
        <v>438.72122311869902</v>
      </c>
      <c r="L8" s="42">
        <v>369.74548363919314</v>
      </c>
      <c r="M8" s="50">
        <v>1455.2360010803702</v>
      </c>
      <c r="N8" s="50">
        <v>301.26657474907904</v>
      </c>
      <c r="O8" s="51">
        <v>1254.4853322438883</v>
      </c>
      <c r="P8" s="47">
        <v>271.61511545424997</v>
      </c>
      <c r="Q8" s="48">
        <v>1.1838579297093321</v>
      </c>
      <c r="R8" s="60">
        <v>6</v>
      </c>
    </row>
    <row r="9" spans="1:35" x14ac:dyDescent="0.25">
      <c r="A9" s="44" t="s">
        <v>58</v>
      </c>
      <c r="B9" s="49">
        <v>1.6426348236012271</v>
      </c>
      <c r="C9" s="59">
        <v>0.14375211802004359</v>
      </c>
      <c r="D9" s="60">
        <v>31.596991960178471</v>
      </c>
      <c r="E9" s="60">
        <v>8.5336192459976701E-2</v>
      </c>
      <c r="F9" s="58">
        <v>7.6876748111520746E-2</v>
      </c>
      <c r="G9" s="42">
        <v>81.836457147265122</v>
      </c>
      <c r="H9" s="50">
        <v>16.1900456425554</v>
      </c>
      <c r="I9" s="42">
        <v>514.65175466323831</v>
      </c>
      <c r="J9" s="42">
        <v>472.21680371833685</v>
      </c>
      <c r="K9" s="42">
        <v>380.78930418455923</v>
      </c>
      <c r="L9" s="42">
        <v>444.96223206436912</v>
      </c>
      <c r="M9" s="50">
        <v>1029.8120923774795</v>
      </c>
      <c r="N9" s="50">
        <v>520.35892065360747</v>
      </c>
      <c r="O9" s="51">
        <v>857.35376395539481</v>
      </c>
      <c r="P9" s="47">
        <v>380.09418283071017</v>
      </c>
      <c r="Q9" s="48">
        <v>1.0005896474106959</v>
      </c>
      <c r="R9" s="60">
        <v>4</v>
      </c>
    </row>
    <row r="11" spans="1:35" x14ac:dyDescent="0.25">
      <c r="A11" s="43" t="s">
        <v>154</v>
      </c>
      <c r="B11" t="s">
        <v>142</v>
      </c>
    </row>
    <row r="13" spans="1:35" x14ac:dyDescent="0.25">
      <c r="B13" s="43" t="s">
        <v>150</v>
      </c>
    </row>
    <row r="14" spans="1:35" x14ac:dyDescent="0.25">
      <c r="A14" s="43" t="s">
        <v>151</v>
      </c>
      <c r="B14" t="s">
        <v>70</v>
      </c>
      <c r="C14" t="s">
        <v>78</v>
      </c>
      <c r="D14" t="s">
        <v>74</v>
      </c>
      <c r="E14" t="s">
        <v>72</v>
      </c>
      <c r="F14" t="s">
        <v>61</v>
      </c>
      <c r="G14" t="s">
        <v>58</v>
      </c>
    </row>
    <row r="15" spans="1:35" x14ac:dyDescent="0.25">
      <c r="A15" s="44" t="s">
        <v>125</v>
      </c>
      <c r="B15" s="42">
        <v>426.5216233905843</v>
      </c>
      <c r="C15" s="42">
        <v>94.950417085003323</v>
      </c>
      <c r="D15" s="42">
        <v>499.96599577040644</v>
      </c>
      <c r="E15" s="42">
        <v>264.1652853180027</v>
      </c>
      <c r="F15" s="42">
        <v>691.57938275712775</v>
      </c>
      <c r="G15" s="42">
        <v>514.65175466323831</v>
      </c>
    </row>
    <row r="16" spans="1:35" x14ac:dyDescent="0.25">
      <c r="A16" s="44" t="s">
        <v>134</v>
      </c>
      <c r="B16" s="42">
        <v>144.29862378771168</v>
      </c>
      <c r="C16" s="42">
        <v>82.273907781428349</v>
      </c>
      <c r="D16" s="42">
        <v>86.355619160344858</v>
      </c>
      <c r="E16" s="42">
        <v>171.80503439375559</v>
      </c>
      <c r="F16" s="42">
        <v>438.1472772908499</v>
      </c>
      <c r="G16" s="42">
        <v>472.21680371833685</v>
      </c>
    </row>
    <row r="17" spans="1:9" x14ac:dyDescent="0.25">
      <c r="A17" s="44" t="s">
        <v>126</v>
      </c>
      <c r="B17" s="42">
        <v>354.60638868633185</v>
      </c>
      <c r="C17" s="42">
        <v>33.977832038519175</v>
      </c>
      <c r="D17" s="42">
        <v>399.99294650461837</v>
      </c>
      <c r="E17" s="42">
        <v>229.1238464295707</v>
      </c>
      <c r="F17" s="42">
        <v>438.72122311869902</v>
      </c>
      <c r="G17" s="42">
        <v>380.78930418455923</v>
      </c>
    </row>
    <row r="18" spans="1:9" x14ac:dyDescent="0.25">
      <c r="A18" s="44" t="s">
        <v>135</v>
      </c>
      <c r="B18" s="42">
        <v>158.03120435375246</v>
      </c>
      <c r="C18" s="42">
        <v>29.205559789303265</v>
      </c>
      <c r="D18" s="42">
        <v>124.88842677933776</v>
      </c>
      <c r="E18" s="42">
        <v>150.5369484315176</v>
      </c>
      <c r="F18" s="42">
        <v>369.74548363919314</v>
      </c>
      <c r="G18" s="42">
        <v>444.96223206436912</v>
      </c>
    </row>
    <row r="19" spans="1:9" x14ac:dyDescent="0.25">
      <c r="A19" s="44" t="s">
        <v>127</v>
      </c>
      <c r="B19" s="42">
        <v>605.19448527854422</v>
      </c>
      <c r="C19" s="42">
        <v>590.00901299276586</v>
      </c>
      <c r="D19" s="42">
        <v>565.82971539166613</v>
      </c>
      <c r="E19" s="42">
        <v>505.88328992160245</v>
      </c>
      <c r="F19" s="42">
        <v>1455.2360010803702</v>
      </c>
      <c r="G19" s="42">
        <v>1029.8120923774795</v>
      </c>
    </row>
    <row r="20" spans="1:9" x14ac:dyDescent="0.25">
      <c r="A20" s="44" t="s">
        <v>137</v>
      </c>
      <c r="B20" s="42">
        <v>38.193433451410002</v>
      </c>
      <c r="C20" s="42">
        <v>166.75102295184737</v>
      </c>
      <c r="D20" s="42">
        <v>39.729759395388051</v>
      </c>
      <c r="E20" s="42">
        <v>91.023956719015203</v>
      </c>
      <c r="F20" s="42">
        <v>301.26657474907904</v>
      </c>
      <c r="G20" s="42">
        <v>520.35892065360747</v>
      </c>
    </row>
    <row r="21" spans="1:9" x14ac:dyDescent="0.25">
      <c r="A21" s="44" t="s">
        <v>128</v>
      </c>
      <c r="B21" s="42">
        <v>561.68372900141389</v>
      </c>
      <c r="C21" s="42">
        <v>570.79473394173726</v>
      </c>
      <c r="D21" s="42">
        <v>576.14514658303506</v>
      </c>
      <c r="E21" s="42">
        <v>494.0718611049686</v>
      </c>
      <c r="F21" s="42">
        <v>1254.4853322438883</v>
      </c>
      <c r="G21" s="42">
        <v>857.35376395539481</v>
      </c>
    </row>
    <row r="22" spans="1:9" x14ac:dyDescent="0.25">
      <c r="A22" s="44" t="s">
        <v>136</v>
      </c>
      <c r="B22" s="42">
        <v>18.894306938947523</v>
      </c>
      <c r="C22" s="42">
        <v>8.4814179913558974</v>
      </c>
      <c r="D22" s="42">
        <v>10.307848385249878</v>
      </c>
      <c r="E22" s="42">
        <v>63.710002053893923</v>
      </c>
      <c r="F22" s="42">
        <v>271.61511545424997</v>
      </c>
      <c r="G22" s="42">
        <v>380.09418283071017</v>
      </c>
    </row>
    <row r="23" spans="1:9" x14ac:dyDescent="0.25">
      <c r="A23" s="44" t="s">
        <v>130</v>
      </c>
      <c r="B23" s="60">
        <v>7</v>
      </c>
      <c r="C23" s="60">
        <v>6</v>
      </c>
      <c r="D23" s="60">
        <v>19</v>
      </c>
      <c r="E23" s="60">
        <v>11</v>
      </c>
      <c r="F23" s="60">
        <v>6</v>
      </c>
      <c r="G23" s="60">
        <v>4</v>
      </c>
    </row>
    <row r="24" spans="1:9" x14ac:dyDescent="0.25">
      <c r="C24" s="42"/>
      <c r="D24" s="42"/>
      <c r="E24" s="42"/>
    </row>
    <row r="25" spans="1:9" x14ac:dyDescent="0.25">
      <c r="C25" s="42"/>
      <c r="D25" s="42"/>
      <c r="E25" s="42"/>
    </row>
    <row r="26" spans="1:9" x14ac:dyDescent="0.25">
      <c r="C26" s="42"/>
      <c r="D26" s="42"/>
      <c r="E26" s="42"/>
    </row>
    <row r="27" spans="1:9" x14ac:dyDescent="0.25">
      <c r="C27" s="42"/>
      <c r="D27" s="42"/>
      <c r="E27" s="42"/>
    </row>
    <row r="28" spans="1:9" x14ac:dyDescent="0.25">
      <c r="C28" s="42"/>
      <c r="D28" s="42"/>
      <c r="E28" s="42"/>
    </row>
    <row r="29" spans="1:9" x14ac:dyDescent="0.25">
      <c r="C29" s="42"/>
      <c r="D29" s="42"/>
      <c r="E29" s="42"/>
    </row>
    <row r="31" spans="1:9" x14ac:dyDescent="0.25">
      <c r="C31" s="42"/>
      <c r="D31" s="42"/>
      <c r="E31" s="42"/>
      <c r="F31" s="42"/>
      <c r="G31" s="42"/>
      <c r="H31" s="42"/>
      <c r="I31" s="42"/>
    </row>
    <row r="32" spans="1:9" x14ac:dyDescent="0.25">
      <c r="C32" s="42"/>
      <c r="D32" s="42"/>
      <c r="E32" s="42"/>
      <c r="F32" s="42"/>
      <c r="G32" s="42"/>
      <c r="H32" s="42"/>
      <c r="I32" s="42"/>
    </row>
    <row r="33" spans="3:9" x14ac:dyDescent="0.25">
      <c r="C33" s="42"/>
      <c r="D33" s="42"/>
      <c r="E33" s="42"/>
      <c r="F33" s="42"/>
      <c r="G33" s="42"/>
      <c r="H33" s="42"/>
      <c r="I33" s="42"/>
    </row>
    <row r="34" spans="3:9" x14ac:dyDescent="0.25">
      <c r="C34" s="42"/>
      <c r="D34" s="42"/>
      <c r="E34" s="42"/>
      <c r="F34" s="42"/>
      <c r="G34" s="42"/>
      <c r="H34" s="42"/>
      <c r="I34" s="42"/>
    </row>
    <row r="35" spans="3:9" x14ac:dyDescent="0.25">
      <c r="C35" s="42"/>
      <c r="D35" s="42"/>
      <c r="E35" s="42"/>
      <c r="F35" s="42"/>
      <c r="G35" s="42"/>
      <c r="H35" s="42"/>
      <c r="I35" s="42"/>
    </row>
    <row r="36" spans="3:9" x14ac:dyDescent="0.25">
      <c r="C36" s="42"/>
      <c r="D36" s="42"/>
      <c r="E36" s="42"/>
      <c r="F36" s="42"/>
      <c r="G36" s="42"/>
      <c r="H36" s="42"/>
      <c r="I36" s="42"/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ConcordiaData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2026-08-20T14:41:35Z</dcterms:created>
  <dcterms:modified xsi:type="dcterms:W3CDTF">2026-09-28T18:42:31Z</dcterms:modified>
</cp:coreProperties>
</file>